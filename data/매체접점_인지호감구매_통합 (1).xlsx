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통합데이터" sheetId="2" state="visible" r:id="rId4"/>
    <sheet name="2017_접점비교" sheetId="3" state="visible" r:id="rId5"/>
    <sheet name="2018_접점비교" sheetId="4" state="visible" r:id="rId6"/>
    <sheet name="2019_접점비교" sheetId="5" state="visible" r:id="rId7"/>
    <sheet name="TOP10_요약" sheetId="6" state="visible" r:id="rId8"/>
    <sheet name="순위_안정성" sheetId="7" state="visible" r:id="rId9"/>
    <sheet name="3개년_추이" sheetId="8" state="visible" r:id="rId10"/>
    <sheet name="구분별_평균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<sst xmlns="http://schemas.openxmlformats.org/spreadsheetml/2006/main" count="301" uniqueCount="136">
  <si>
    <r>
      <rPr>
        <b val="true"/>
        <sz val="14"/>
        <rFont val="Noto Sans CJK SC"/>
        <family val="2"/>
      </rPr>
      <t xml:space="preserve">매체 접점별 인지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호감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구매 영향 통합 </t>
    </r>
    <r>
      <rPr>
        <b val="true"/>
        <sz val="14"/>
        <rFont val="Arial"/>
        <family val="0"/>
        <charset val="1"/>
      </rPr>
      <t xml:space="preserve">(2017–2019)</t>
    </r>
  </si>
  <si>
    <t xml:space="preserve">목적</t>
  </si>
  <si>
    <r>
      <rPr>
        <sz val="10"/>
        <rFont val="Noto Sans CJK SC"/>
        <family val="2"/>
      </rPr>
      <t xml:space="preserve">소비자가 브랜드를 알게 되고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호감을 갖고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구매하는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단계에서 어떤 매체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접점이 가장 큰 영향을 주는지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연도</t>
    </r>
    <r>
      <rPr>
        <sz val="10"/>
        <rFont val="Arial"/>
        <family val="0"/>
        <charset val="1"/>
      </rPr>
      <t xml:space="preserve">(2017·2018·2019)</t>
    </r>
    <r>
      <rPr>
        <sz val="10"/>
        <rFont val="Noto Sans CJK SC"/>
        <family val="2"/>
      </rPr>
      <t xml:space="preserve">를 모두 비교한다</t>
    </r>
    <r>
      <rPr>
        <sz val="10"/>
        <rFont val="Arial"/>
        <family val="0"/>
        <charset val="1"/>
      </rPr>
      <t xml:space="preserve">.</t>
    </r>
  </si>
  <si>
    <t xml:space="preserve">원본</t>
  </si>
  <si>
    <r>
      <rPr>
        <sz val="10"/>
        <rFont val="Noto Sans CJK SC"/>
        <family val="2"/>
      </rPr>
      <t xml:space="preserve">시계열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매체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접점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.xlsx / -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.xlsx / -</t>
    </r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.xlsx (</t>
    </r>
    <r>
      <rPr>
        <sz val="10"/>
        <rFont val="Noto Sans CJK SC"/>
        <family val="2"/>
      </rPr>
      <t xml:space="preserve">사용자 제공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원본 파일에는 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문항 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단위가 적혀 있지 않다</t>
    </r>
    <r>
      <rPr>
        <sz val="10"/>
        <rFont val="Arial"/>
        <family val="0"/>
        <charset val="1"/>
      </rPr>
      <t xml:space="preserve">.</t>
    </r>
  </si>
  <si>
    <t xml:space="preserve">출처 입력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</si>
  <si>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출처를 여기에 입력하세요</t>
    </r>
    <r>
      <rPr>
        <sz val="10"/>
        <rFont val="Arial"/>
        <family val="0"/>
        <charset val="1"/>
      </rPr>
      <t xml:space="preserve">)</t>
    </r>
  </si>
  <si>
    <t xml:space="preserve">단위</t>
  </si>
  <si>
    <r>
      <rPr>
        <sz val="10"/>
        <rFont val="Noto Sans CJK SC"/>
        <family val="2"/>
      </rPr>
      <t xml:space="preserve">원본 값은 비율</t>
    </r>
    <r>
      <rPr>
        <sz val="10"/>
        <rFont val="Arial"/>
        <family val="0"/>
        <charset val="1"/>
      </rPr>
      <t xml:space="preserve">(%)</t>
    </r>
    <r>
      <rPr>
        <sz val="10"/>
        <rFont val="Noto Sans CJK SC"/>
        <family val="2"/>
      </rPr>
      <t xml:space="preserve">로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접점 비율의 합이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를 크게 넘으므로 복수응답으로 추정된다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정확한 문항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단위는 원자료 출처에서 확인해야 한다</t>
    </r>
    <r>
      <rPr>
        <sz val="10"/>
        <rFont val="Arial"/>
        <family val="0"/>
        <charset val="1"/>
      </rPr>
      <t xml:space="preserve">.</t>
    </r>
  </si>
  <si>
    <t xml:space="preserve">사례수</t>
  </si>
  <si>
    <r>
      <rPr>
        <sz val="10"/>
        <rFont val="Arial"/>
        <family val="0"/>
        <charset val="1"/>
      </rPr>
      <t xml:space="preserve">2017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2018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2019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기재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인지 파일의 </t>
    </r>
    <r>
      <rPr>
        <sz val="10"/>
        <rFont val="Arial"/>
        <family val="0"/>
        <charset val="1"/>
      </rPr>
      <t xml:space="preserve">'4000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표기는 </t>
    </r>
    <r>
      <rPr>
        <sz val="10"/>
        <rFont val="Arial"/>
        <family val="0"/>
        <charset val="1"/>
      </rPr>
      <t xml:space="preserve">'4,000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통일</t>
    </r>
    <r>
      <rPr>
        <sz val="10"/>
        <rFont val="Arial"/>
        <family val="0"/>
        <charset val="1"/>
      </rPr>
      <t xml:space="preserve">).</t>
    </r>
  </si>
  <si>
    <t xml:space="preserve">정리 방법</t>
  </si>
  <si>
    <r>
      <rPr>
        <sz val="10"/>
        <rFont val="Arial"/>
        <family val="0"/>
        <charset val="1"/>
      </rPr>
      <t xml:space="preserve">① 3</t>
    </r>
    <r>
      <rPr>
        <sz val="10"/>
        <rFont val="Noto Sans CJK SC"/>
        <family val="2"/>
      </rPr>
      <t xml:space="preserve">개 파일의 같은 접점을 한 행으로 합침 ② 문자열로 저장된 숫자를 수치로 변환 ③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파일 모두 값이 없는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개 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과거 문항 이름만 남은 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지상파 </t>
    </r>
    <r>
      <rPr>
        <sz val="10"/>
        <rFont val="Arial"/>
        <family val="0"/>
        <charset val="1"/>
      </rPr>
      <t xml:space="preserve">TV </t>
    </r>
    <r>
      <rPr>
        <sz val="10"/>
        <rFont val="Noto Sans CJK SC"/>
        <family val="2"/>
      </rPr>
      <t xml:space="preserve">광고</t>
    </r>
    <r>
      <rPr>
        <sz val="10"/>
        <rFont val="Arial"/>
        <family val="0"/>
        <charset val="1"/>
      </rPr>
      <t xml:space="preserve">', 'QR</t>
    </r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', '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은 제외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접점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개만 남김</t>
    </r>
    <r>
      <rPr>
        <sz val="10"/>
        <rFont val="Arial"/>
        <family val="0"/>
        <charset val="1"/>
      </rPr>
      <t xml:space="preserve">.</t>
    </r>
  </si>
  <si>
    <t xml:space="preserve">빈칸</t>
  </si>
  <si>
    <r>
      <rPr>
        <sz val="10"/>
        <rFont val="Noto Sans CJK SC"/>
        <family val="2"/>
      </rPr>
      <t xml:space="preserve">원본에서 비어 있어 빈칸으로 둔 곳</t>
    </r>
    <r>
      <rPr>
        <sz val="10"/>
        <rFont val="Arial"/>
        <family val="0"/>
        <charset val="1"/>
      </rPr>
      <t xml:space="preserve">: 2017 </t>
    </r>
    <r>
      <rPr>
        <sz val="10"/>
        <rFont val="Noto Sans CJK SC"/>
        <family val="2"/>
      </rPr>
      <t xml:space="preserve">인지의 </t>
    </r>
    <r>
      <rPr>
        <sz val="10"/>
        <rFont val="Arial"/>
        <family val="0"/>
        <charset val="1"/>
      </rPr>
      <t xml:space="preserve">'TV PPL', 2019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게임 또는 스포츠 팀 후원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구매 모두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해당 연도의 순위는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개 접점 중 순위가 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평균은 값이 있는 연도만으로 계산된다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안정성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구매 자료 연수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</si>
  <si>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구분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분류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</si>
  <si>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통합데이터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시트의 구분</t>
    </r>
    <r>
      <rPr>
        <sz val="10"/>
        <rFont val="Arial"/>
        <family val="0"/>
        <charset val="1"/>
      </rPr>
      <t xml:space="preserve">(TV·</t>
    </r>
    <r>
      <rPr>
        <sz val="10"/>
        <rFont val="Noto Sans CJK SC"/>
        <family val="2"/>
      </rPr>
      <t xml:space="preserve">라디오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인쇄</t>
    </r>
    <r>
      <rPr>
        <sz val="10"/>
        <rFont val="Arial"/>
        <family val="0"/>
        <charset val="1"/>
      </rPr>
      <t xml:space="preserve">·DM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원본에 없고 작성 과정에서 임의로 묶은 것이다</t>
    </r>
    <r>
      <rPr>
        <sz val="10"/>
        <rFont val="Arial"/>
        <family val="0"/>
        <charset val="1"/>
      </rPr>
      <t xml:space="preserve">. A</t>
    </r>
    <r>
      <rPr>
        <sz val="10"/>
        <rFont val="Noto Sans CJK SC"/>
        <family val="2"/>
      </rPr>
      <t xml:space="preserve">열을 고치면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구분별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자동으로 바뀐다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</si>
  <si>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주의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</si>
  <si>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2017→2018 </t>
    </r>
    <r>
      <rPr>
        <sz val="10"/>
        <rFont val="Noto Sans CJK SC"/>
        <family val="2"/>
      </rPr>
      <t xml:space="preserve">사이에 일부 접점이 급변한다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인지의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회사의 사회공헌</t>
    </r>
    <r>
      <rPr>
        <sz val="10"/>
        <rFont val="Arial"/>
        <family val="0"/>
        <charset val="1"/>
      </rPr>
      <t xml:space="preserve">' 61.8→14.1, '</t>
    </r>
    <r>
      <rPr>
        <sz val="10"/>
        <rFont val="Noto Sans CJK SC"/>
        <family val="2"/>
      </rPr>
      <t xml:space="preserve">건물 외벽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옥상…</t>
    </r>
    <r>
      <rPr>
        <sz val="10"/>
        <rFont val="Arial"/>
        <family val="0"/>
        <charset val="1"/>
      </rPr>
      <t xml:space="preserve">' 14.4→42.0). </t>
    </r>
    <r>
      <rPr>
        <sz val="10"/>
        <rFont val="Noto Sans CJK SC"/>
        <family val="2"/>
      </rPr>
      <t xml:space="preserve">설문 문항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보기 개편 때문일 가능성이 있어 </t>
    </r>
    <r>
      <rPr>
        <sz val="10"/>
        <rFont val="Arial"/>
        <family val="0"/>
        <charset val="1"/>
      </rPr>
      <t xml:space="preserve">'3</t>
    </r>
    <r>
      <rPr>
        <sz val="10"/>
        <rFont val="Noto Sans CJK SC"/>
        <family val="2"/>
      </rPr>
      <t xml:space="preserve">개년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추이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에서 표시했다</t>
    </r>
    <r>
      <rPr>
        <sz val="10"/>
        <rFont val="Arial"/>
        <family val="0"/>
        <charset val="1"/>
      </rPr>
      <t xml:space="preserve">. 2017</t>
    </r>
    <r>
      <rPr>
        <sz val="10"/>
        <rFont val="Noto Sans CJK SC"/>
        <family val="2"/>
      </rPr>
      <t xml:space="preserve">년과 </t>
    </r>
    <r>
      <rPr>
        <sz val="10"/>
        <rFont val="Arial"/>
        <family val="0"/>
        <charset val="1"/>
      </rPr>
      <t xml:space="preserve">2018~2019</t>
    </r>
    <r>
      <rPr>
        <sz val="10"/>
        <rFont val="Noto Sans CJK SC"/>
        <family val="2"/>
      </rPr>
      <t xml:space="preserve">년을 직접 비교할 때는 주의가 필요하고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안정성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2018~2019 </t>
    </r>
    <r>
      <rPr>
        <sz val="10"/>
        <rFont val="Noto Sans CJK SC"/>
        <family val="2"/>
      </rPr>
      <t xml:space="preserve">평균을 따로 두었다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</si>
  <si>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주의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</si>
  <si>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는 전환율이 아니다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단계마다 응답 기준이 달라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배를 넘을 수 있으며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주변사람 추천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접점의 상대적 구매 영향력을 보는 참고 지표다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</si>
  <si>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주의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</si>
  <si>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'3</t>
    </r>
    <r>
      <rPr>
        <sz val="10"/>
        <rFont val="Noto Sans CJK SC"/>
        <family val="2"/>
      </rPr>
      <t xml:space="preserve">단계 평균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구매 비율의 단순 평균으로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 단계를 동일 비중으로 본다는 가정이 들어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구매 영향이 목적이면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순위를 우선 본다</t>
    </r>
    <r>
      <rPr>
        <sz val="10"/>
        <rFont val="Arial"/>
        <family val="0"/>
        <charset val="1"/>
      </rPr>
      <t xml:space="preserve">.</t>
    </r>
  </si>
  <si>
    <t xml:space="preserve">시트 안내</t>
  </si>
  <si>
    <r>
      <rPr>
        <sz val="10"/>
        <rFont val="Noto Sans CJK SC"/>
        <family val="2"/>
      </rPr>
      <t xml:space="preserve">통합데이터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정리된 원자료</t>
    </r>
    <r>
      <rPr>
        <sz val="10"/>
        <rFont val="Arial"/>
        <family val="0"/>
        <charset val="1"/>
      </rPr>
      <t xml:space="preserve">) · 2017/2018/2019_</t>
    </r>
    <r>
      <rPr>
        <sz val="10"/>
        <rFont val="Noto Sans CJK SC"/>
        <family val="2"/>
      </rPr>
      <t xml:space="preserve">접점비교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 비교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) · TOP10_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 단계별 상위 </t>
    </r>
    <r>
      <rPr>
        <sz val="10"/>
        <rFont val="Arial"/>
        <family val="0"/>
        <charset val="1"/>
      </rPr>
      <t xml:space="preserve">10) · 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안정성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개년 순위 변화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) · 3</t>
    </r>
    <r>
      <rPr>
        <sz val="10"/>
        <rFont val="Noto Sans CJK SC"/>
        <family val="2"/>
      </rPr>
      <t xml:space="preserve">개년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추이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변화폭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구분별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분류별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개년 요약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차트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</si>
  <si>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접점별 인지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호감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구매 비율 </t>
    </r>
    <r>
      <rPr>
        <b val="true"/>
        <sz val="14"/>
        <rFont val="Arial"/>
        <family val="0"/>
        <charset val="1"/>
      </rPr>
      <t xml:space="preserve">(%) — 2017~2019</t>
    </r>
  </si>
  <si>
    <r>
      <rPr>
        <i val="true"/>
        <sz val="9"/>
        <color rgb="FF595959"/>
        <rFont val="Noto Sans CJK SC"/>
        <family val="2"/>
      </rPr>
      <t xml:space="preserve">원본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 파일을 접점 기준으로 합친 표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빈칸은 원본에 값이 없는 항목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</si>
  <si>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</si>
  <si>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접점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매체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</si>
  <si>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① 인지</t>
  </si>
  <si>
    <t xml:space="preserve">② 호감</t>
  </si>
  <si>
    <t xml:space="preserve">③ 구매</t>
  </si>
  <si>
    <t xml:space="preserve">2017</t>
  </si>
  <si>
    <t xml:space="preserve">2018</t>
  </si>
  <si>
    <t xml:space="preserve">2019</t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</si>
  <si>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</si>
  <si>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TV·</t>
    </r>
    <r>
      <rPr>
        <sz val="10"/>
        <rFont val="Noto Sans CJK SC"/>
        <family val="2"/>
      </rPr>
      <t xml:space="preserve">라디오</t>
    </r>
  </si>
  <si>
    <r>
      <rPr>
        <sz val="10"/>
        <rFont val="Arial"/>
        <family val="0"/>
        <charset val="1"/>
      </rPr>
      <t xml:space="preserve">TV </t>
    </r>
    <r>
      <rPr>
        <sz val="10"/>
        <rFont val="Noto Sans CJK SC"/>
        <family val="2"/>
      </rPr>
      <t xml:space="preserve">광고</t>
    </r>
  </si>
  <si>
    <r>
      <rPr>
        <sz val="10"/>
        <rFont val="Noto Sans CJK SC"/>
        <family val="2"/>
      </rPr>
      <t xml:space="preserve">드라마 등 </t>
    </r>
    <r>
      <rPr>
        <sz val="10"/>
        <rFont val="Arial"/>
        <family val="0"/>
        <charset val="1"/>
      </rPr>
      <t xml:space="preserve">TV</t>
    </r>
    <r>
      <rPr>
        <sz val="10"/>
        <rFont val="Noto Sans CJK SC"/>
        <family val="2"/>
      </rPr>
      <t xml:space="preserve">프로그램 속 간접광고</t>
    </r>
    <r>
      <rPr>
        <sz val="10"/>
        <rFont val="Arial"/>
        <family val="0"/>
        <charset val="1"/>
      </rPr>
      <t xml:space="preserve">(PPL)</t>
    </r>
  </si>
  <si>
    <t xml:space="preserve">라디오 광고</t>
  </si>
  <si>
    <r>
      <rPr>
        <sz val="10"/>
        <rFont val="Noto Sans CJK SC"/>
        <family val="2"/>
      </rPr>
      <t xml:space="preserve">인쇄</t>
    </r>
    <r>
      <rPr>
        <sz val="10"/>
        <rFont val="Arial"/>
        <family val="0"/>
        <charset val="1"/>
      </rPr>
      <t xml:space="preserve">·DM</t>
    </r>
  </si>
  <si>
    <t xml:space="preserve">신문 광고</t>
  </si>
  <si>
    <t xml:space="preserve">신문 기사</t>
  </si>
  <si>
    <t xml:space="preserve">잡지 광고</t>
  </si>
  <si>
    <t xml:space="preserve">잡지 기사</t>
  </si>
  <si>
    <r>
      <rPr>
        <sz val="10"/>
        <rFont val="Noto Sans CJK SC"/>
        <family val="2"/>
      </rPr>
      <t xml:space="preserve">제품 카달로그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전단지</t>
    </r>
  </si>
  <si>
    <r>
      <rPr>
        <sz val="10"/>
        <rFont val="Noto Sans CJK SC"/>
        <family val="2"/>
      </rPr>
      <t xml:space="preserve">광고 우편물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명세서 등</t>
    </r>
  </si>
  <si>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디지털</t>
    </r>
  </si>
  <si>
    <t xml:space="preserve">배너 광고</t>
  </si>
  <si>
    <t xml:space="preserve">팝업 광고</t>
  </si>
  <si>
    <r>
      <rPr>
        <sz val="10"/>
        <rFont val="Noto Sans CJK SC"/>
        <family val="2"/>
      </rPr>
      <t xml:space="preserve">동영상 광고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동영상 재생 전후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</si>
  <si>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검색어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키워드 광고</t>
    </r>
  </si>
  <si>
    <t xml:space="preserve">인터넷 기사</t>
  </si>
  <si>
    <r>
      <rPr>
        <sz val="10"/>
        <rFont val="Arial"/>
        <family val="0"/>
        <charset val="1"/>
      </rPr>
      <t xml:space="preserve">SNS(</t>
    </r>
    <r>
      <rPr>
        <sz val="10"/>
        <rFont val="Noto Sans CJK SC"/>
        <family val="2"/>
      </rPr>
      <t xml:space="preserve">페이스북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인스타그램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트위터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광고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홍보</t>
    </r>
  </si>
  <si>
    <r>
      <rPr>
        <sz val="10"/>
        <rFont val="Arial"/>
        <family val="0"/>
        <charset val="1"/>
      </rPr>
      <t xml:space="preserve">SNS, </t>
    </r>
    <r>
      <rPr>
        <sz val="10"/>
        <rFont val="Noto Sans CJK SC"/>
        <family val="2"/>
      </rPr>
      <t xml:space="preserve">블로그 사용자 후기 및 전문가 리뷰</t>
    </r>
  </si>
  <si>
    <r>
      <rPr>
        <sz val="10"/>
        <rFont val="Noto Sans CJK SC"/>
        <family val="2"/>
      </rPr>
      <t xml:space="preserve">포털 카페 및 커뮤니티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다음 등</t>
    </r>
    <r>
      <rPr>
        <sz val="10"/>
        <rFont val="Arial"/>
        <family val="0"/>
        <charset val="1"/>
      </rPr>
      <t xml:space="preserve">)</t>
    </r>
  </si>
  <si>
    <t xml:space="preserve">가격비교사이트 및 제품 관련 전문사이트</t>
  </si>
  <si>
    <r>
      <rPr>
        <sz val="10"/>
        <rFont val="Noto Sans CJK SC"/>
        <family val="2"/>
      </rPr>
      <t xml:space="preserve">해당 제품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매장 웹사이트</t>
    </r>
  </si>
  <si>
    <r>
      <rPr>
        <sz val="10"/>
        <rFont val="Noto Sans CJK SC"/>
        <family val="2"/>
      </rPr>
      <t xml:space="preserve">이메일 광고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뉴스레터 등</t>
    </r>
  </si>
  <si>
    <r>
      <rPr>
        <sz val="10"/>
        <rFont val="Noto Sans CJK SC"/>
        <family val="2"/>
      </rPr>
      <t xml:space="preserve">옥외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공간</t>
    </r>
  </si>
  <si>
    <r>
      <rPr>
        <sz val="10"/>
        <rFont val="Noto Sans CJK SC"/>
        <family val="2"/>
      </rPr>
      <t xml:space="preserve">건물 외벽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옥상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역사 및 정류장 광고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</si>
  <si>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 광고</t>
    </r>
  </si>
  <si>
    <r>
      <rPr>
        <sz val="10"/>
        <rFont val="Noto Sans CJK SC"/>
        <family val="2"/>
      </rPr>
      <t xml:space="preserve">영화관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 경기장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공연장 등 광고</t>
    </r>
  </si>
  <si>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판촉</t>
    </r>
  </si>
  <si>
    <t xml:space="preserve">매장 간판 및 외관 광고물</t>
  </si>
  <si>
    <r>
      <rPr>
        <sz val="10"/>
        <rFont val="Noto Sans CJK SC"/>
        <family val="2"/>
      </rPr>
      <t xml:space="preserve">매장 내 광고</t>
    </r>
    <r>
      <rPr>
        <sz val="10"/>
        <rFont val="Arial"/>
        <family val="0"/>
        <charset val="1"/>
      </rPr>
      <t xml:space="preserve">(POP)</t>
    </r>
  </si>
  <si>
    <r>
      <rPr>
        <sz val="10"/>
        <rFont val="Noto Sans CJK SC"/>
        <family val="2"/>
      </rPr>
      <t xml:space="preserve">판매원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추천</t>
    </r>
  </si>
  <si>
    <r>
      <rPr>
        <sz val="10"/>
        <rFont val="Noto Sans CJK SC"/>
        <family val="2"/>
      </rPr>
      <t xml:space="preserve">샘플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구매 사은품</t>
    </r>
  </si>
  <si>
    <r>
      <rPr>
        <sz val="10"/>
        <rFont val="Noto Sans CJK SC"/>
        <family val="2"/>
      </rPr>
      <t xml:space="preserve">쿠폰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프로모션 등 행사 및 이벤트</t>
    </r>
  </si>
  <si>
    <t xml:space="preserve">매장 내 진열제품 및 제품정보</t>
  </si>
  <si>
    <t xml:space="preserve">구전</t>
  </si>
  <si>
    <r>
      <rPr>
        <sz val="10"/>
        <rFont val="Noto Sans CJK SC"/>
        <family val="2"/>
      </rPr>
      <t xml:space="preserve">주변사람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친구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동료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추천</t>
    </r>
  </si>
  <si>
    <r>
      <rPr>
        <sz val="10"/>
        <rFont val="Noto Sans CJK SC"/>
        <family val="2"/>
      </rPr>
      <t xml:space="preserve">기업활동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후원</t>
    </r>
  </si>
  <si>
    <t xml:space="preserve">회사의 사회공헌 및 기여활동</t>
  </si>
  <si>
    <t xml:space="preserve">게임 또는 스포츠 팀 후원</t>
  </si>
  <si>
    <r>
      <rPr>
        <sz val="10"/>
        <rFont val="Arial"/>
        <family val="0"/>
        <charset val="1"/>
      </rPr>
      <t xml:space="preserve">TV</t>
    </r>
    <r>
      <rPr>
        <sz val="10"/>
        <rFont val="Noto Sans CJK SC"/>
        <family val="2"/>
      </rPr>
      <t xml:space="preserve">프로그램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영화 제작 투자</t>
    </r>
  </si>
  <si>
    <r>
      <rPr>
        <sz val="10"/>
        <rFont val="Noto Sans CJK SC"/>
        <family val="2"/>
      </rPr>
      <t xml:space="preserve">신제품발표회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무역박람회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전시회</t>
    </r>
  </si>
  <si>
    <r>
      <rPr>
        <b val="true"/>
        <sz val="14"/>
        <rFont val="Arial"/>
        <family val="0"/>
        <charset val="1"/>
      </rPr>
      <t xml:space="preserve">2017</t>
    </r>
    <r>
      <rPr>
        <b val="true"/>
        <sz val="14"/>
        <rFont val="Noto Sans CJK SC"/>
        <family val="2"/>
      </rPr>
      <t xml:space="preserve">년 접점 비교 및 순위</t>
    </r>
  </si>
  <si>
    <r>
      <rPr>
        <i val="true"/>
        <sz val="9"/>
        <color rgb="FF595959"/>
        <rFont val="Noto Sans CJK SC"/>
        <family val="2"/>
      </rPr>
      <t xml:space="preserve">비율은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통합데이터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시트에서 자동으로 가져옴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순위는 값이 있는 접점 중 순위</t>
    </r>
    <r>
      <rPr>
        <i val="true"/>
        <sz val="9"/>
        <color rgb="FF595959"/>
        <rFont val="Arial"/>
        <family val="0"/>
        <charset val="1"/>
      </rPr>
      <t xml:space="preserve">(1=</t>
    </r>
    <r>
      <rPr>
        <i val="true"/>
        <sz val="9"/>
        <color rgb="FF595959"/>
        <rFont val="Noto Sans CJK SC"/>
        <family val="2"/>
      </rPr>
      <t xml:space="preserve">가장 높음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오른쪽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고유순위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TOP10 </t>
    </r>
    <r>
      <rPr>
        <i val="true"/>
        <sz val="9"/>
        <color rgb="FF595959"/>
        <rFont val="Noto Sans CJK SC"/>
        <family val="2"/>
      </rPr>
      <t xml:space="preserve">표를 만들기 위한 보조 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동점 처리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</si>
  <si>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인지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</si>
  <si>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호감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</si>
  <si>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구매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</si>
  <si>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단계 평균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</si>
  <si>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구매</t>
    </r>
    <r>
      <rPr>
        <b val="true"/>
        <sz val="10"/>
        <color rgb="FFFFFFFF"/>
        <rFont val="Arial"/>
        <family val="0"/>
        <charset val="1"/>
      </rPr>
      <t xml:space="preserve">÷</t>
    </r>
    <r>
      <rPr>
        <b val="true"/>
        <sz val="10"/>
        <color rgb="FFFFFFFF"/>
        <rFont val="Noto Sans CJK SC"/>
        <family val="2"/>
      </rPr>
      <t xml:space="preserve">인지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</si>
  <si>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구매</t>
    </r>
    <r>
      <rPr>
        <b val="true"/>
        <sz val="10"/>
        <color rgb="FFFFFFFF"/>
        <rFont val="Arial"/>
        <family val="0"/>
        <charset val="1"/>
      </rPr>
      <t xml:space="preserve">÷</t>
    </r>
    <r>
      <rPr>
        <b val="true"/>
        <sz val="10"/>
        <color rgb="FFFFFFFF"/>
        <rFont val="Noto Sans CJK SC"/>
        <family val="2"/>
      </rPr>
      <t xml:space="preserve">호감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</si>
  <si>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인지 순위</t>
  </si>
  <si>
    <t xml:space="preserve">호감 순위</t>
  </si>
  <si>
    <t xml:space="preserve">구매 순위</t>
  </si>
  <si>
    <t xml:space="preserve">평균 순위</t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</si>
  <si>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인지</t>
    </r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</si>
  <si>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호감</t>
    </r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</si>
  <si>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구매</t>
    </r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</si>
  <si>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</si>
  <si>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해당 단계 상위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위</t>
    </r>
    <r>
      <rPr>
        <i val="true"/>
        <sz val="9"/>
        <color rgb="FF595959"/>
        <rFont val="Arial"/>
        <family val="0"/>
        <charset val="1"/>
      </rPr>
      <t xml:space="preserve">. 3</t>
    </r>
    <r>
      <rPr>
        <i val="true"/>
        <sz val="9"/>
        <color rgb="FF595959"/>
        <rFont val="Noto Sans CJK SC"/>
        <family val="2"/>
      </rPr>
      <t xml:space="preserve">단계 평균은 세 단계를 동일 비중으로 본 단순 평균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가정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구매</t>
    </r>
    <r>
      <rPr>
        <i val="true"/>
        <sz val="9"/>
        <color rgb="FF595959"/>
        <rFont val="Arial"/>
        <family val="0"/>
        <charset val="1"/>
      </rPr>
      <t xml:space="preserve">÷</t>
    </r>
    <r>
      <rPr>
        <i val="true"/>
        <sz val="9"/>
        <color rgb="FF595959"/>
        <rFont val="Noto Sans CJK SC"/>
        <family val="2"/>
      </rPr>
      <t xml:space="preserve">인지는 전환율이 아닌 상대 지표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</si>
  <si>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2018</t>
    </r>
    <r>
      <rPr>
        <b val="true"/>
        <sz val="14"/>
        <rFont val="Noto Sans CJK SC"/>
        <family val="2"/>
      </rPr>
      <t xml:space="preserve">년 접점 비교 및 순위</t>
    </r>
  </si>
  <si>
    <r>
      <rPr>
        <b val="true"/>
        <sz val="14"/>
        <rFont val="Arial"/>
        <family val="0"/>
        <charset val="1"/>
      </rPr>
      <t xml:space="preserve">2019</t>
    </r>
    <r>
      <rPr>
        <b val="true"/>
        <sz val="14"/>
        <rFont val="Noto Sans CJK SC"/>
        <family val="2"/>
      </rPr>
      <t xml:space="preserve">년 접점 비교 및 순위</t>
    </r>
  </si>
  <si>
    <r>
      <rPr>
        <b val="true"/>
        <sz val="14"/>
        <rFont val="Noto Sans CJK SC"/>
        <family val="2"/>
      </rPr>
      <t xml:space="preserve">연도별 단계별 상위 </t>
    </r>
    <r>
      <rPr>
        <b val="true"/>
        <sz val="14"/>
        <rFont val="Arial"/>
        <family val="0"/>
        <charset val="1"/>
      </rPr>
      <t xml:space="preserve">10</t>
    </r>
    <r>
      <rPr>
        <b val="true"/>
        <sz val="14"/>
        <rFont val="Noto Sans CJK SC"/>
        <family val="2"/>
      </rPr>
      <t xml:space="preserve">개 접점</t>
    </r>
  </si>
  <si>
    <r>
      <rPr>
        <i val="true"/>
        <sz val="9"/>
        <color rgb="FF595959"/>
        <rFont val="Noto Sans CJK SC"/>
        <family val="2"/>
      </rPr>
      <t xml:space="preserve">각 연도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접점비교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시트의 고유순위로 자동 정렬됨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값이 바뀌면 순위표도 바뀐다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</si>
  <si>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2017</t>
    </r>
    <r>
      <rPr>
        <b val="true"/>
        <sz val="12"/>
        <rFont val="Noto Sans CJK SC"/>
        <family val="2"/>
      </rPr>
      <t xml:space="preserve">년</t>
    </r>
  </si>
  <si>
    <t xml:space="preserve">인지</t>
  </si>
  <si>
    <t xml:space="preserve">호감</t>
  </si>
  <si>
    <t xml:space="preserve">구매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</si>
  <si>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단계 평균</t>
    </r>
  </si>
  <si>
    <t xml:space="preserve">순위</t>
  </si>
  <si>
    <t xml:space="preserve">접점</t>
  </si>
  <si>
    <r>
      <rPr>
        <b val="true"/>
        <sz val="10"/>
        <color rgb="FFFFFFFF"/>
        <rFont val="Noto Sans CJK SC"/>
        <family val="2"/>
      </rPr>
      <t xml:space="preserve">비율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</si>
  <si>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2"/>
        <rFont val="Arial"/>
        <family val="0"/>
        <charset val="1"/>
      </rPr>
      <t xml:space="preserve">2018</t>
    </r>
    <r>
      <rPr>
        <b val="true"/>
        <sz val="12"/>
        <rFont val="Noto Sans CJK SC"/>
        <family val="2"/>
      </rPr>
      <t xml:space="preserve">년</t>
    </r>
  </si>
  <si>
    <r>
      <rPr>
        <b val="true"/>
        <sz val="12"/>
        <rFont val="Arial"/>
        <family val="0"/>
        <charset val="1"/>
      </rPr>
      <t xml:space="preserve">2019</t>
    </r>
    <r>
      <rPr>
        <b val="true"/>
        <sz val="12"/>
        <rFont val="Noto Sans CJK SC"/>
        <family val="2"/>
      </rPr>
      <t xml:space="preserve">년</t>
    </r>
  </si>
  <si>
    <r>
      <rPr>
        <b val="true"/>
        <sz val="14"/>
        <rFont val="Noto Sans CJK SC"/>
        <family val="2"/>
      </rPr>
      <t xml:space="preserve">접점별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개년 순위 변화와 평균</t>
    </r>
  </si>
  <si>
    <r>
      <rPr>
        <i val="true"/>
        <sz val="9"/>
        <color rgb="FF595959"/>
        <rFont val="Noto Sans CJK SC"/>
        <family val="2"/>
      </rPr>
      <t xml:space="preserve">순위는 각 연도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접점비교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시트에서 가져옴</t>
    </r>
    <r>
      <rPr>
        <i val="true"/>
        <sz val="9"/>
        <color rgb="FF595959"/>
        <rFont val="Arial"/>
        <family val="0"/>
        <charset val="1"/>
      </rPr>
      <t xml:space="preserve">(1=</t>
    </r>
    <r>
      <rPr>
        <i val="true"/>
        <sz val="9"/>
        <color rgb="FF595959"/>
        <rFont val="Noto Sans CJK SC"/>
        <family val="2"/>
      </rPr>
      <t xml:space="preserve">가장 높음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변동폭이 작을수록 해마다 일관된 영향력</t>
    </r>
    <r>
      <rPr>
        <i val="true"/>
        <sz val="9"/>
        <color rgb="FF595959"/>
        <rFont val="Arial"/>
        <family val="0"/>
        <charset val="1"/>
      </rPr>
      <t xml:space="preserve">. 2018~2019 </t>
    </r>
    <r>
      <rPr>
        <i val="true"/>
        <sz val="9"/>
        <color rgb="FF595959"/>
        <rFont val="Noto Sans CJK SC"/>
        <family val="2"/>
      </rPr>
      <t xml:space="preserve">평균은 </t>
    </r>
    <r>
      <rPr>
        <i val="true"/>
        <sz val="9"/>
        <color rgb="FF595959"/>
        <rFont val="Arial"/>
        <family val="0"/>
        <charset val="1"/>
      </rPr>
      <t xml:space="preserve">2017→2018 </t>
    </r>
    <r>
      <rPr>
        <i val="true"/>
        <sz val="9"/>
        <color rgb="FF595959"/>
        <rFont val="Noto Sans CJK SC"/>
        <family val="2"/>
      </rPr>
      <t xml:space="preserve">설문 개편 가능성을 피하기 위한 보조 지표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</si>
  <si>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구매 순위 변동폭</t>
  </si>
  <si>
    <t xml:space="preserve">구매 자료 연수</t>
  </si>
  <si>
    <r>
      <rPr>
        <b val="true"/>
        <sz val="10"/>
        <color rgb="FFFFFFFF"/>
        <rFont val="Noto Sans CJK SC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개년 평균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</si>
  <si>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2018~19 </t>
    </r>
    <r>
      <rPr>
        <b val="true"/>
        <sz val="10"/>
        <color rgb="FFFFFFFF"/>
        <rFont val="Noto Sans CJK SC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</si>
  <si>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Arial"/>
        <family val="0"/>
        <charset val="1"/>
      </rPr>
      <t xml:space="preserve">2018~19 </t>
    </r>
    <r>
      <rPr>
        <b val="true"/>
        <sz val="10"/>
        <color rgb="FFFFFFFF"/>
        <rFont val="Noto Sans CJK SC"/>
        <family val="2"/>
      </rPr>
      <t xml:space="preserve">평균 순위</t>
    </r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</si>
  <si>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·3</t>
    </r>
    <r>
      <rPr>
        <b val="true"/>
        <sz val="10"/>
        <color rgb="FFFFFFFF"/>
        <rFont val="Noto Sans CJK SC"/>
        <family val="2"/>
      </rPr>
      <t xml:space="preserve">개년</t>
    </r>
  </si>
  <si>
    <r>
      <rPr>
        <b val="true"/>
        <sz val="10"/>
        <color rgb="FFFFFFFF"/>
        <rFont val="Noto Sans CJK SC"/>
        <family val="2"/>
      </rPr>
      <t xml:space="preserve">고유순위</t>
    </r>
    <r>
      <rPr>
        <b val="true"/>
        <sz val="10"/>
        <color rgb="FFFFFFFF"/>
        <rFont val="Arial"/>
        <family val="0"/>
        <charset val="1"/>
      </rPr>
      <t xml:space="preserve">·18~19</t>
    </r>
  </si>
  <si>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해당 연도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단계 상위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구매 자료 연수가 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Noto Sans CJK SC"/>
        <family val="2"/>
      </rPr>
      <t xml:space="preserve">미만이면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게임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스포츠 팀 후원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평균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변동폭이 값이 있는 연도만으로 계산된 것이다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</si>
  <si>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구매에 영향을 준 접점 </t>
    </r>
    <r>
      <rPr>
        <b val="true"/>
        <sz val="11"/>
        <rFont val="Arial"/>
        <family val="0"/>
        <charset val="1"/>
      </rPr>
      <t xml:space="preserve">TOP10 — 2019 </t>
    </r>
    <r>
      <rPr>
        <b val="true"/>
        <sz val="11"/>
        <rFont val="Noto Sans CJK SC"/>
        <family val="2"/>
      </rPr>
      <t xml:space="preserve">순위 기준</t>
    </r>
    <r>
      <rPr>
        <b val="true"/>
        <sz val="11"/>
        <rFont val="Arial"/>
        <family val="0"/>
        <charset val="1"/>
      </rPr>
      <t xml:space="preserve">, 3</t>
    </r>
    <r>
      <rPr>
        <b val="true"/>
        <sz val="11"/>
        <rFont val="Noto Sans CJK SC"/>
        <family val="2"/>
      </rPr>
      <t xml:space="preserve">개년 비교 </t>
    </r>
    <r>
      <rPr>
        <b val="true"/>
        <sz val="11"/>
        <rFont val="Arial"/>
        <family val="0"/>
        <charset val="1"/>
      </rPr>
      <t xml:space="preserve">(%)</t>
    </r>
  </si>
  <si>
    <r>
      <rPr>
        <b val="true"/>
        <sz val="11"/>
        <rFont val="Noto Sans CJK SC"/>
        <family val="2"/>
      </rPr>
      <t xml:space="preserve">구매 영향 </t>
    </r>
    <r>
      <rPr>
        <b val="true"/>
        <sz val="11"/>
        <rFont val="Arial"/>
        <family val="0"/>
        <charset val="1"/>
      </rPr>
      <t xml:space="preserve">TOP10 — 3</t>
    </r>
    <r>
      <rPr>
        <b val="true"/>
        <sz val="11"/>
        <rFont val="Noto Sans CJK SC"/>
        <family val="2"/>
      </rPr>
      <t xml:space="preserve">개년</t>
    </r>
    <r>
      <rPr>
        <b val="true"/>
        <sz val="11"/>
        <rFont val="Arial"/>
        <family val="0"/>
        <charset val="1"/>
      </rPr>
      <t xml:space="preserve">(2017~2019) </t>
    </r>
    <r>
      <rPr>
        <b val="true"/>
        <sz val="11"/>
        <rFont val="Noto Sans CJK SC"/>
        <family val="2"/>
      </rPr>
      <t xml:space="preserve">평균</t>
    </r>
  </si>
  <si>
    <r>
      <rPr>
        <b val="true"/>
        <sz val="10"/>
        <color rgb="FFFFFFFF"/>
        <rFont val="Noto Sans CJK SC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</si>
  <si>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자료 연수</t>
  </si>
  <si>
    <r>
      <rPr>
        <b val="true"/>
        <sz val="11"/>
        <rFont val="Noto Sans CJK SC"/>
        <family val="2"/>
      </rPr>
      <t xml:space="preserve">구매 영향 </t>
    </r>
    <r>
      <rPr>
        <b val="true"/>
        <sz val="11"/>
        <rFont val="Arial"/>
        <family val="0"/>
        <charset val="1"/>
      </rPr>
      <t xml:space="preserve">TOP10 — 2018~2019 </t>
    </r>
    <r>
      <rPr>
        <b val="true"/>
        <sz val="11"/>
        <rFont val="Noto Sans CJK SC"/>
        <family val="2"/>
      </rPr>
      <t xml:space="preserve">평균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두 해 모두 값이 있는 접점만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설문 개편 영향 최소화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</si>
  <si>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접점별 변화폭 </t>
    </r>
    <r>
      <rPr>
        <b val="true"/>
        <sz val="14"/>
        <rFont val="Arial"/>
        <family val="0"/>
        <charset val="1"/>
      </rPr>
      <t xml:space="preserve">(%p)</t>
    </r>
  </si>
  <si>
    <r>
      <rPr>
        <i val="true"/>
        <sz val="9"/>
        <color rgb="FF595959"/>
        <rFont val="Noto Sans CJK SC"/>
        <family val="2"/>
      </rPr>
      <t xml:space="preserve">변화폭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뒤 연도 − 앞 연도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초록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상승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빨강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하락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한쪽이 빈칸이면 계산하지 않음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</si>
  <si>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급변 의심 기준</t>
    </r>
    <r>
      <rPr>
        <b val="true"/>
        <sz val="10"/>
        <rFont val="Arial"/>
        <family val="0"/>
        <charset val="1"/>
      </rPr>
      <t xml:space="preserve">(%p):</t>
    </r>
  </si>
  <si>
    <r>
      <rPr>
        <i val="true"/>
        <sz val="9"/>
        <color rgb="FF595959"/>
        <rFont val="Arial"/>
        <family val="0"/>
        <charset val="1"/>
      </rPr>
      <t xml:space="preserve">← 2017→2018 </t>
    </r>
    <r>
      <rPr>
        <i val="true"/>
        <sz val="9"/>
        <color rgb="FF595959"/>
        <rFont val="Noto Sans CJK SC"/>
        <family val="2"/>
      </rPr>
      <t xml:space="preserve">인지 변화가 이 값 이상이면 설문 개편 가능성 표시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임의 기준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수정 가능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</si>
  <si>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2018→2019 </t>
    </r>
    <r>
      <rPr>
        <b val="true"/>
        <sz val="10"/>
        <color rgb="FFFFFFFF"/>
        <rFont val="Noto Sans CJK SC"/>
        <family val="2"/>
      </rPr>
      <t xml:space="preserve">변화</t>
    </r>
  </si>
  <si>
    <r>
      <rPr>
        <b val="true"/>
        <sz val="10"/>
        <color rgb="FFFFFFFF"/>
        <rFont val="Arial"/>
        <family val="0"/>
        <charset val="1"/>
      </rPr>
      <t xml:space="preserve">2017→2019 </t>
    </r>
    <r>
      <rPr>
        <b val="true"/>
        <sz val="10"/>
        <color rgb="FFFFFFFF"/>
        <rFont val="Noto Sans CJK SC"/>
        <family val="2"/>
      </rPr>
      <t xml:space="preserve">변화</t>
    </r>
  </si>
  <si>
    <r>
      <rPr>
        <b val="true"/>
        <sz val="10"/>
        <color rgb="FFFFFFFF"/>
        <rFont val="Arial"/>
        <family val="0"/>
        <charset val="1"/>
      </rPr>
      <t xml:space="preserve">2017→2018 </t>
    </r>
    <r>
      <rPr>
        <b val="true"/>
        <sz val="10"/>
        <color rgb="FFFFFFFF"/>
        <rFont val="Noto Sans CJK SC"/>
        <family val="2"/>
      </rPr>
      <t xml:space="preserve">급변 확인</t>
    </r>
  </si>
  <si>
    <t xml:space="preserve">인지 변화</t>
  </si>
  <si>
    <t xml:space="preserve">표시</t>
  </si>
  <si>
    <r>
      <rPr>
        <b val="true"/>
        <sz val="14"/>
        <rFont val="Noto Sans CJK SC"/>
        <family val="2"/>
      </rPr>
      <t xml:space="preserve">구분별 평균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단순 평균</t>
    </r>
    <r>
      <rPr>
        <b val="true"/>
        <sz val="14"/>
        <rFont val="Arial"/>
        <family val="0"/>
        <charset val="1"/>
      </rPr>
      <t xml:space="preserve">, %) — 2017~2019</t>
    </r>
  </si>
  <si>
    <r>
      <rPr>
        <i val="true"/>
        <sz val="9"/>
        <color rgb="FF595959"/>
        <rFont val="Noto Sans CJK SC"/>
        <family val="2"/>
      </rPr>
      <t xml:space="preserve">구분은 접점 개수가 달라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구전은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평균만으로 매체 우열을 단정하기 어렵다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개별 접점은 연도별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접점비교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참고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</si>
  <si>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접점 수</t>
  </si>
  <si>
    <r>
      <rPr>
        <b val="true"/>
        <sz val="10"/>
        <color rgb="FFFFFFFF"/>
        <rFont val="Noto Sans CJK SC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2018→2019(%p)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</si>
</sst>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0\배"/>
    <numFmt numFmtId="168" formatCode="0"/>
    <numFmt numFmtId="169" formatCode="\+0.0;\-0.0;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C0504D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803C"/>
      </font>
    </dxf>
    <dxf>
      <font>
        <name val="Arial"/>
        <charset val="1"/>
        <family val="0"/>
        <b val="1"/>
        <color rgb="FFC00000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C55A11"/>
      <rgbColor rgb="FF595959"/>
      <rgbColor rgb="FF4F81BD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구매 영향 TOP10 접점 (2019 순위 기준, 3개년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순위_안정성!C43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순위_안정성!$B$44:$B$53</c:f>
              <c:strCache>
                <c:ptCount val="10"/>
                <c:pt idx="0">
                  <c:v>주변사람(친구/가족/동료)의 추천</c:v>
                </c:pt>
                <c:pt idx="1">
                  <c:v>TV 광고</c:v>
                </c:pt>
                <c:pt idx="2">
                  <c:v>판매원(점원) 추천</c:v>
                </c:pt>
                <c:pt idx="3">
                  <c:v>매장 내 진열제품 및 제품정보</c:v>
                </c:pt>
                <c:pt idx="4">
                  <c:v>샘플/구매 사은품</c:v>
                </c:pt>
                <c:pt idx="5">
                  <c:v>쿠폰/프로모션 등 행사 및 이벤트</c:v>
                </c:pt>
                <c:pt idx="6">
                  <c:v>SNS, 블로그 사용자 후기 및 전문가 리뷰</c:v>
                </c:pt>
                <c:pt idx="7">
                  <c:v>가격비교사이트 및 제품 관련 전문사이트</c:v>
                </c:pt>
                <c:pt idx="8">
                  <c:v>제품 카달로그/전단지</c:v>
                </c:pt>
                <c:pt idx="9">
                  <c:v>포털 카페 및 커뮤니티(네이버, 다음 등)</c:v>
                </c:pt>
              </c:strCache>
            </c:strRef>
          </c:cat>
          <c:val>
            <c:numRef>
              <c:f>순위_안정성!$C$44:$C$53</c:f>
              <c:numCache>
                <c:formatCode>0.0</c:formatCode>
                <c:ptCount val="10"/>
                <c:pt idx="0">
                  <c:v>62</c:v>
                </c:pt>
                <c:pt idx="1">
                  <c:v>51.6</c:v>
                </c:pt>
                <c:pt idx="2">
                  <c:v>41.5</c:v>
                </c:pt>
                <c:pt idx="3">
                  <c:v>37.5</c:v>
                </c:pt>
                <c:pt idx="4">
                  <c:v>34</c:v>
                </c:pt>
                <c:pt idx="5">
                  <c:v>29.3</c:v>
                </c:pt>
                <c:pt idx="6">
                  <c:v>23.4</c:v>
                </c:pt>
                <c:pt idx="7">
                  <c:v>19.4</c:v>
                </c:pt>
                <c:pt idx="8">
                  <c:v>19.3</c:v>
                </c:pt>
                <c:pt idx="9">
                  <c:v>22.9</c:v>
                </c:pt>
              </c:numCache>
            </c:numRef>
          </c:val>
        </c:ser>
        <c:ser>
          <c:idx val="1"/>
          <c:order val="1"/>
          <c:tx>
            <c:strRef>
              <c:f>순위_안정성!D43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순위_안정성!$B$44:$B$53</c:f>
              <c:strCache>
                <c:ptCount val="10"/>
                <c:pt idx="0">
                  <c:v>주변사람(친구/가족/동료)의 추천</c:v>
                </c:pt>
                <c:pt idx="1">
                  <c:v>TV 광고</c:v>
                </c:pt>
                <c:pt idx="2">
                  <c:v>판매원(점원) 추천</c:v>
                </c:pt>
                <c:pt idx="3">
                  <c:v>매장 내 진열제품 및 제품정보</c:v>
                </c:pt>
                <c:pt idx="4">
                  <c:v>샘플/구매 사은품</c:v>
                </c:pt>
                <c:pt idx="5">
                  <c:v>쿠폰/프로모션 등 행사 및 이벤트</c:v>
                </c:pt>
                <c:pt idx="6">
                  <c:v>SNS, 블로그 사용자 후기 및 전문가 리뷰</c:v>
                </c:pt>
                <c:pt idx="7">
                  <c:v>가격비교사이트 및 제품 관련 전문사이트</c:v>
                </c:pt>
                <c:pt idx="8">
                  <c:v>제품 카달로그/전단지</c:v>
                </c:pt>
                <c:pt idx="9">
                  <c:v>포털 카페 및 커뮤니티(네이버, 다음 등)</c:v>
                </c:pt>
              </c:strCache>
            </c:strRef>
          </c:cat>
          <c:val>
            <c:numRef>
              <c:f>순위_안정성!$D$44:$D$53</c:f>
              <c:numCache>
                <c:formatCode>0.0</c:formatCode>
                <c:ptCount val="10"/>
                <c:pt idx="0">
                  <c:v>60.4</c:v>
                </c:pt>
                <c:pt idx="1">
                  <c:v>43.4</c:v>
                </c:pt>
                <c:pt idx="2">
                  <c:v>41.2</c:v>
                </c:pt>
                <c:pt idx="3">
                  <c:v>33.3</c:v>
                </c:pt>
                <c:pt idx="4">
                  <c:v>29.1</c:v>
                </c:pt>
                <c:pt idx="5">
                  <c:v>26.4</c:v>
                </c:pt>
                <c:pt idx="6">
                  <c:v>21</c:v>
                </c:pt>
                <c:pt idx="7">
                  <c:v>19.3</c:v>
                </c:pt>
                <c:pt idx="8">
                  <c:v>20.3</c:v>
                </c:pt>
                <c:pt idx="9">
                  <c:v>15.4</c:v>
                </c:pt>
              </c:numCache>
            </c:numRef>
          </c:val>
        </c:ser>
        <c:ser>
          <c:idx val="2"/>
          <c:order val="2"/>
          <c:tx>
            <c:strRef>
              <c:f>순위_안정성!E43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순위_안정성!$B$44:$B$53</c:f>
              <c:strCache>
                <c:ptCount val="10"/>
                <c:pt idx="0">
                  <c:v>주변사람(친구/가족/동료)의 추천</c:v>
                </c:pt>
                <c:pt idx="1">
                  <c:v>TV 광고</c:v>
                </c:pt>
                <c:pt idx="2">
                  <c:v>판매원(점원) 추천</c:v>
                </c:pt>
                <c:pt idx="3">
                  <c:v>매장 내 진열제품 및 제품정보</c:v>
                </c:pt>
                <c:pt idx="4">
                  <c:v>샘플/구매 사은품</c:v>
                </c:pt>
                <c:pt idx="5">
                  <c:v>쿠폰/프로모션 등 행사 및 이벤트</c:v>
                </c:pt>
                <c:pt idx="6">
                  <c:v>SNS, 블로그 사용자 후기 및 전문가 리뷰</c:v>
                </c:pt>
                <c:pt idx="7">
                  <c:v>가격비교사이트 및 제품 관련 전문사이트</c:v>
                </c:pt>
                <c:pt idx="8">
                  <c:v>제품 카달로그/전단지</c:v>
                </c:pt>
                <c:pt idx="9">
                  <c:v>포털 카페 및 커뮤니티(네이버, 다음 등)</c:v>
                </c:pt>
              </c:strCache>
            </c:strRef>
          </c:cat>
          <c:val>
            <c:numRef>
              <c:f>순위_안정성!$E$44:$E$53</c:f>
              <c:numCache>
                <c:formatCode>0.0</c:formatCode>
                <c:ptCount val="10"/>
                <c:pt idx="0">
                  <c:v>68.2</c:v>
                </c:pt>
                <c:pt idx="1">
                  <c:v>47.1</c:v>
                </c:pt>
                <c:pt idx="2">
                  <c:v>43.4</c:v>
                </c:pt>
                <c:pt idx="3">
                  <c:v>34.2</c:v>
                </c:pt>
                <c:pt idx="4">
                  <c:v>31.3</c:v>
                </c:pt>
                <c:pt idx="5">
                  <c:v>31.2</c:v>
                </c:pt>
                <c:pt idx="6">
                  <c:v>24.6</c:v>
                </c:pt>
                <c:pt idx="7">
                  <c:v>20.2</c:v>
                </c:pt>
                <c:pt idx="8">
                  <c:v>19.6</c:v>
                </c:pt>
                <c:pt idx="9">
                  <c:v>17.9</c:v>
                </c:pt>
              </c:numCache>
            </c:numRef>
          </c:val>
        </c:ser>
        <c:gapWidth val="150"/>
        <c:overlap val="0"/>
        <c:axId val="18405787"/>
        <c:axId val="46091250"/>
      </c:barChart>
      <c:catAx>
        <c:axId val="184057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91250"/>
        <c:crosses val="autoZero"/>
        <c:auto val="1"/>
        <c:lblAlgn val="ctr"/>
        <c:lblOffset val="100"/>
        <c:noMultiLvlLbl val="0"/>
      </c:catAx>
      <c:valAx>
        <c:axId val="46091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5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구분별 평균 비율 (2019,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"인지 2019"</c:f>
              <c:strCache>
                <c:ptCount val="1"/>
                <c:pt idx="0">
                  <c:v>인지 2019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구분별_평균!$A$6:$A$12</c:f>
              <c:strCache>
                <c:ptCount val="7"/>
                <c:pt idx="0">
                  <c:v>TV·라디오</c:v>
                </c:pt>
                <c:pt idx="1">
                  <c:v>인쇄·DM</c:v>
                </c:pt>
                <c:pt idx="2">
                  <c:v>온라인·디지털</c:v>
                </c:pt>
                <c:pt idx="3">
                  <c:v>옥외·공간</c:v>
                </c:pt>
                <c:pt idx="4">
                  <c:v>매장·판촉</c:v>
                </c:pt>
                <c:pt idx="5">
                  <c:v>구전</c:v>
                </c:pt>
                <c:pt idx="6">
                  <c:v>기업활동·후원</c:v>
                </c:pt>
              </c:strCache>
            </c:strRef>
          </c:cat>
          <c:val>
            <c:numRef>
              <c:f>구분별_평균!$E$6:$E$12</c:f>
              <c:numCache>
                <c:formatCode>0.0</c:formatCode>
                <c:ptCount val="7"/>
                <c:pt idx="0">
                  <c:v>50.1333333333333</c:v>
                </c:pt>
                <c:pt idx="1">
                  <c:v>21.2166666666667</c:v>
                </c:pt>
                <c:pt idx="2">
                  <c:v>23.6272727272727</c:v>
                </c:pt>
                <c:pt idx="3">
                  <c:v>41.1</c:v>
                </c:pt>
                <c:pt idx="4">
                  <c:v>37.6833333333333</c:v>
                </c:pt>
                <c:pt idx="5">
                  <c:v>58.5</c:v>
                </c:pt>
                <c:pt idx="6">
                  <c:v>11.7</c:v>
                </c:pt>
              </c:numCache>
            </c:numRef>
          </c:val>
        </c:ser>
        <c:ser>
          <c:idx val="1"/>
          <c:order val="1"/>
          <c:tx>
            <c:strRef>
              <c:f>"호감 2019"</c:f>
              <c:strCache>
                <c:ptCount val="1"/>
                <c:pt idx="0">
                  <c:v>호감 2019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구분별_평균!$A$6:$A$12</c:f>
              <c:strCache>
                <c:ptCount val="7"/>
                <c:pt idx="0">
                  <c:v>TV·라디오</c:v>
                </c:pt>
                <c:pt idx="1">
                  <c:v>인쇄·DM</c:v>
                </c:pt>
                <c:pt idx="2">
                  <c:v>온라인·디지털</c:v>
                </c:pt>
                <c:pt idx="3">
                  <c:v>옥외·공간</c:v>
                </c:pt>
                <c:pt idx="4">
                  <c:v>매장·판촉</c:v>
                </c:pt>
                <c:pt idx="5">
                  <c:v>구전</c:v>
                </c:pt>
                <c:pt idx="6">
                  <c:v>기업활동·후원</c:v>
                </c:pt>
              </c:strCache>
            </c:strRef>
          </c:cat>
          <c:val>
            <c:numRef>
              <c:f>구분별_평균!$H$6:$H$12</c:f>
              <c:numCache>
                <c:formatCode>0.0</c:formatCode>
                <c:ptCount val="7"/>
                <c:pt idx="0">
                  <c:v>34.4333333333333</c:v>
                </c:pt>
                <c:pt idx="1">
                  <c:v>12.6</c:v>
                </c:pt>
                <c:pt idx="2">
                  <c:v>13.2818181818182</c:v>
                </c:pt>
                <c:pt idx="3">
                  <c:v>18.9</c:v>
                </c:pt>
                <c:pt idx="4">
                  <c:v>28.2666666666667</c:v>
                </c:pt>
                <c:pt idx="5">
                  <c:v>49.7</c:v>
                </c:pt>
                <c:pt idx="6">
                  <c:v>10.7333333333333</c:v>
                </c:pt>
              </c:numCache>
            </c:numRef>
          </c:val>
        </c:ser>
        <c:ser>
          <c:idx val="2"/>
          <c:order val="2"/>
          <c:tx>
            <c:strRef>
              <c:f>"구매 2019"</c:f>
              <c:strCache>
                <c:ptCount val="1"/>
                <c:pt idx="0">
                  <c:v>구매 2019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구분별_평균!$A$6:$A$12</c:f>
              <c:strCache>
                <c:ptCount val="7"/>
                <c:pt idx="0">
                  <c:v>TV·라디오</c:v>
                </c:pt>
                <c:pt idx="1">
                  <c:v>인쇄·DM</c:v>
                </c:pt>
                <c:pt idx="2">
                  <c:v>온라인·디지털</c:v>
                </c:pt>
                <c:pt idx="3">
                  <c:v>옥외·공간</c:v>
                </c:pt>
                <c:pt idx="4">
                  <c:v>매장·판촉</c:v>
                </c:pt>
                <c:pt idx="5">
                  <c:v>구전</c:v>
                </c:pt>
                <c:pt idx="6">
                  <c:v>기업활동·후원</c:v>
                </c:pt>
              </c:strCache>
            </c:strRef>
          </c:cat>
          <c:val>
            <c:numRef>
              <c:f>구분별_평균!$K$6:$K$12</c:f>
              <c:numCache>
                <c:formatCode>0.0</c:formatCode>
                <c:ptCount val="7"/>
                <c:pt idx="0">
                  <c:v>23.4333333333333</c:v>
                </c:pt>
                <c:pt idx="1">
                  <c:v>7.53333333333333</c:v>
                </c:pt>
                <c:pt idx="2">
                  <c:v>10.4181818181818</c:v>
                </c:pt>
                <c:pt idx="3">
                  <c:v>7.56666666666667</c:v>
                </c:pt>
                <c:pt idx="4">
                  <c:v>27.1833333333333</c:v>
                </c:pt>
                <c:pt idx="5">
                  <c:v>68.2</c:v>
                </c:pt>
                <c:pt idx="6">
                  <c:v>3.03333333333333</c:v>
                </c:pt>
              </c:numCache>
            </c:numRef>
          </c:val>
        </c:ser>
        <c:gapWidth val="150"/>
        <c:overlap val="0"/>
        <c:axId val="78214465"/>
        <c:axId val="28167227"/>
      </c:barChart>
      <c:catAx>
        <c:axId val="78214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67227"/>
        <c:crosses val="autoZero"/>
        <c:auto val="1"/>
        <c:lblAlgn val="ctr"/>
        <c:lblOffset val="100"/>
        <c:noMultiLvlLbl val="0"/>
      </c:catAx>
      <c:valAx>
        <c:axId val="28167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14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40</xdr:row>
      <xdr:rowOff>106560</xdr:rowOff>
    </xdr:from>
    <xdr:to>
      <xdr:col>17</xdr:col>
      <xdr:colOff>166320</xdr:colOff>
      <xdr:row>61</xdr:row>
      <xdr:rowOff>11160</xdr:rowOff>
    </xdr:to>
    <xdr:graphicFrame>
      <xdr:nvGraphicFramePr>
        <xdr:cNvPr id="0" name="Chart 1"/>
        <xdr:cNvGraphicFramePr/>
      </xdr:nvGraphicFramePr>
      <xdr:xfrm>
        <a:off x="7048440" y="80391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106920</xdr:rowOff>
    </xdr:from>
    <xdr:to>
      <xdr:col>8</xdr:col>
      <xdr:colOff>644400</xdr:colOff>
      <xdr:row>31</xdr:row>
      <xdr:rowOff>108000</xdr:rowOff>
    </xdr:to>
    <xdr:graphicFrame>
      <xdr:nvGraphicFramePr>
        <xdr:cNvPr id="1" name="Chart 1"/>
        <xdr:cNvGraphicFramePr/>
      </xdr:nvGraphicFramePr>
      <xdr:xfrm>
        <a:off x="0" y="3048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21.6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21.75" hidden="false" customHeight="true" outlineLevel="0" collapsed="false">
      <c r="A5" s="2" t="s">
        <v>5</v>
      </c>
      <c r="B5" s="4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5" t="s">
        <v>10</v>
      </c>
    </row>
    <row r="8" customFormat="false" ht="43.5" hidden="false" customHeight="true" outlineLevel="0" collapsed="false">
      <c r="A8" s="2" t="s">
        <v>11</v>
      </c>
      <c r="B8" s="5" t="s">
        <v>12</v>
      </c>
    </row>
    <row r="9" customFormat="false" ht="43.5" hidden="false" customHeight="true" outlineLevel="0" collapsed="false">
      <c r="A9" s="2" t="s">
        <v>13</v>
      </c>
      <c r="B9" s="3" t="s">
        <v>14</v>
      </c>
    </row>
    <row r="10" customFormat="false" ht="43.5" hidden="false" customHeight="true" outlineLevel="0" collapsed="false">
      <c r="A10" s="2" t="s">
        <v>15</v>
      </c>
      <c r="B10" s="5" t="s">
        <v>16</v>
      </c>
    </row>
    <row r="11" customFormat="false" ht="43.5" hidden="false" customHeight="true" outlineLevel="0" collapsed="false">
      <c r="A11" s="2" t="s">
        <v>17</v>
      </c>
      <c r="B11" s="5" t="s">
        <v>18</v>
      </c>
    </row>
    <row r="12" customFormat="false" ht="43.5" hidden="false" customHeight="true" outlineLevel="0" collapsed="false">
      <c r="A12" s="2" t="s">
        <v>19</v>
      </c>
      <c r="B12" s="5" t="s">
        <v>20</v>
      </c>
    </row>
    <row r="13" customFormat="false" ht="43.5" hidden="false" customHeight="true" outlineLevel="0" collapsed="false">
      <c r="A13" s="2" t="s">
        <v>21</v>
      </c>
      <c r="B13" s="5" t="s">
        <v>22</v>
      </c>
    </row>
    <row r="14" customFormat="false" ht="43.5" hidden="false" customHeight="true" outlineLevel="0" collapsed="false">
      <c r="A14" s="2" t="s">
        <v>23</v>
      </c>
      <c r="B1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1" min="3" style="0" width="9"/>
  </cols>
  <sheetData>
    <row r="1" customFormat="false" ht="21.6" hidden="false" customHeight="false" outlineLevel="0" collapsed="false">
      <c r="A1" s="1" t="s">
        <v>25</v>
      </c>
    </row>
    <row r="2" customFormat="false" ht="15" hidden="false" customHeight="false" outlineLevel="0" collapsed="false">
      <c r="A2" s="6" t="s">
        <v>26</v>
      </c>
    </row>
    <row r="4" customFormat="false" ht="21.75" hidden="false" customHeight="true" outlineLevel="0" collapsed="false">
      <c r="A4" s="7" t="s">
        <v>27</v>
      </c>
      <c r="B4" s="7" t="s">
        <v>28</v>
      </c>
      <c r="C4" s="8" t="s">
        <v>29</v>
      </c>
      <c r="D4" s="8"/>
      <c r="E4" s="8"/>
      <c r="F4" s="9" t="s">
        <v>30</v>
      </c>
      <c r="G4" s="9"/>
      <c r="H4" s="9"/>
      <c r="I4" s="10" t="s">
        <v>31</v>
      </c>
      <c r="J4" s="10"/>
      <c r="K4" s="10"/>
    </row>
    <row r="5" customFormat="false" ht="15" hidden="false" customHeight="false" outlineLevel="0" collapsed="false">
      <c r="A5" s="7"/>
      <c r="B5" s="7"/>
      <c r="C5" s="11" t="s">
        <v>32</v>
      </c>
      <c r="D5" s="11" t="s">
        <v>33</v>
      </c>
      <c r="E5" s="11" t="s">
        <v>34</v>
      </c>
      <c r="F5" s="12" t="s">
        <v>32</v>
      </c>
      <c r="G5" s="12" t="s">
        <v>33</v>
      </c>
      <c r="H5" s="12" t="s">
        <v>34</v>
      </c>
      <c r="I5" s="13" t="s">
        <v>32</v>
      </c>
      <c r="J5" s="13" t="s">
        <v>33</v>
      </c>
      <c r="K5" s="13" t="s">
        <v>34</v>
      </c>
    </row>
    <row r="6" customFormat="false" ht="15" hidden="false" customHeight="false" outlineLevel="0" collapsed="false">
      <c r="A6" s="14" t="s">
        <v>9</v>
      </c>
      <c r="B6" s="15" t="s">
        <v>35</v>
      </c>
      <c r="C6" s="14" t="n">
        <v>5000</v>
      </c>
      <c r="D6" s="14" t="n">
        <v>4000</v>
      </c>
      <c r="E6" s="14" t="n">
        <v>4000</v>
      </c>
      <c r="F6" s="14" t="n">
        <v>5000</v>
      </c>
      <c r="G6" s="14" t="n">
        <v>4000</v>
      </c>
      <c r="H6" s="14" t="n">
        <v>4000</v>
      </c>
      <c r="I6" s="14" t="n">
        <v>5000</v>
      </c>
      <c r="J6" s="14" t="n">
        <v>4000</v>
      </c>
      <c r="K6" s="14" t="n">
        <v>4000</v>
      </c>
    </row>
    <row r="7" customFormat="false" ht="15" hidden="false" customHeight="false" outlineLevel="0" collapsed="false">
      <c r="A7" s="5" t="s">
        <v>36</v>
      </c>
      <c r="B7" s="5" t="s">
        <v>37</v>
      </c>
      <c r="C7" s="16" t="n">
        <v>77.7</v>
      </c>
      <c r="D7" s="16" t="n">
        <v>75.8</v>
      </c>
      <c r="E7" s="16" t="n">
        <v>82.3</v>
      </c>
      <c r="F7" s="16" t="n">
        <v>62.6</v>
      </c>
      <c r="G7" s="16" t="n">
        <v>60.4</v>
      </c>
      <c r="H7" s="16" t="n">
        <v>58.4</v>
      </c>
      <c r="I7" s="16" t="n">
        <v>51.6</v>
      </c>
      <c r="J7" s="16" t="n">
        <v>43.4</v>
      </c>
      <c r="K7" s="16" t="n">
        <v>47.1</v>
      </c>
    </row>
    <row r="8" customFormat="false" ht="15" hidden="false" customHeight="false" outlineLevel="0" collapsed="false">
      <c r="A8" s="5" t="s">
        <v>36</v>
      </c>
      <c r="B8" s="3" t="s">
        <v>38</v>
      </c>
      <c r="C8" s="16"/>
      <c r="D8" s="16" t="n">
        <v>44.2</v>
      </c>
      <c r="E8" s="16" t="n">
        <v>42.4</v>
      </c>
      <c r="F8" s="16" t="n">
        <v>33.4</v>
      </c>
      <c r="G8" s="16" t="n">
        <v>36.3</v>
      </c>
      <c r="H8" s="16" t="n">
        <v>34.8</v>
      </c>
      <c r="I8" s="16" t="n">
        <v>20.7</v>
      </c>
      <c r="J8" s="16" t="n">
        <v>20.5</v>
      </c>
      <c r="K8" s="16" t="n">
        <v>17.1</v>
      </c>
    </row>
    <row r="9" customFormat="false" ht="15" hidden="false" customHeight="false" outlineLevel="0" collapsed="false">
      <c r="A9" s="5" t="s">
        <v>36</v>
      </c>
      <c r="B9" s="3" t="s">
        <v>39</v>
      </c>
      <c r="C9" s="16" t="n">
        <v>34</v>
      </c>
      <c r="D9" s="16" t="n">
        <v>25.2</v>
      </c>
      <c r="E9" s="16" t="n">
        <v>25.7</v>
      </c>
      <c r="F9" s="16" t="n">
        <v>9.5</v>
      </c>
      <c r="G9" s="16" t="n">
        <v>10.4</v>
      </c>
      <c r="H9" s="16" t="n">
        <v>10.1</v>
      </c>
      <c r="I9" s="16" t="n">
        <v>4.9</v>
      </c>
      <c r="J9" s="16" t="n">
        <v>6.2</v>
      </c>
      <c r="K9" s="16" t="n">
        <v>6.1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16" t="n">
        <v>15.4</v>
      </c>
      <c r="D10" s="16" t="n">
        <v>21.9</v>
      </c>
      <c r="E10" s="16" t="n">
        <v>18.3</v>
      </c>
      <c r="F10" s="16" t="n">
        <v>12.9</v>
      </c>
      <c r="G10" s="16" t="n">
        <v>8.3</v>
      </c>
      <c r="H10" s="16" t="n">
        <v>7.3</v>
      </c>
      <c r="I10" s="16" t="n">
        <v>7</v>
      </c>
      <c r="J10" s="16" t="n">
        <v>4.7</v>
      </c>
      <c r="K10" s="16" t="n">
        <v>4</v>
      </c>
    </row>
    <row r="11" customFormat="false" ht="15" hidden="false" customHeight="false" outlineLevel="0" collapsed="false">
      <c r="A11" s="3" t="s">
        <v>40</v>
      </c>
      <c r="B11" s="3" t="s">
        <v>42</v>
      </c>
      <c r="C11" s="16" t="n">
        <v>17.5</v>
      </c>
      <c r="D11" s="16" t="n">
        <v>14.4</v>
      </c>
      <c r="E11" s="16" t="n">
        <v>13</v>
      </c>
      <c r="F11" s="16" t="n">
        <v>11.1</v>
      </c>
      <c r="G11" s="16" t="n">
        <v>7.4</v>
      </c>
      <c r="H11" s="16" t="n">
        <v>6.8</v>
      </c>
      <c r="I11" s="16" t="n">
        <v>7.7</v>
      </c>
      <c r="J11" s="16" t="n">
        <v>5.9</v>
      </c>
      <c r="K11" s="16" t="n">
        <v>4.2</v>
      </c>
    </row>
    <row r="12" customFormat="false" ht="15" hidden="false" customHeight="false" outlineLevel="0" collapsed="false">
      <c r="A12" s="3" t="s">
        <v>40</v>
      </c>
      <c r="B12" s="3" t="s">
        <v>43</v>
      </c>
      <c r="C12" s="16" t="n">
        <v>16.2</v>
      </c>
      <c r="D12" s="16" t="n">
        <v>19.1</v>
      </c>
      <c r="E12" s="16" t="n">
        <v>16.6</v>
      </c>
      <c r="F12" s="16" t="n">
        <v>18.7</v>
      </c>
      <c r="G12" s="16" t="n">
        <v>13.4</v>
      </c>
      <c r="H12" s="16" t="n">
        <v>14.4</v>
      </c>
      <c r="I12" s="16" t="n">
        <v>7.7</v>
      </c>
      <c r="J12" s="16" t="n">
        <v>4.8</v>
      </c>
      <c r="K12" s="16" t="n">
        <v>5</v>
      </c>
    </row>
    <row r="13" customFormat="false" ht="15" hidden="false" customHeight="false" outlineLevel="0" collapsed="false">
      <c r="A13" s="3" t="s">
        <v>40</v>
      </c>
      <c r="B13" s="3" t="s">
        <v>44</v>
      </c>
      <c r="C13" s="16" t="n">
        <v>15.1</v>
      </c>
      <c r="D13" s="16" t="n">
        <v>13.8</v>
      </c>
      <c r="E13" s="16" t="n">
        <v>11</v>
      </c>
      <c r="F13" s="16" t="n">
        <v>12.4</v>
      </c>
      <c r="G13" s="16" t="n">
        <v>8</v>
      </c>
      <c r="H13" s="16" t="n">
        <v>8.8</v>
      </c>
      <c r="I13" s="16" t="n">
        <v>8.6</v>
      </c>
      <c r="J13" s="16" t="n">
        <v>5.6</v>
      </c>
      <c r="K13" s="16" t="n">
        <v>4.7</v>
      </c>
    </row>
    <row r="14" customFormat="false" ht="15" hidden="false" customHeight="false" outlineLevel="0" collapsed="false">
      <c r="A14" s="3" t="s">
        <v>40</v>
      </c>
      <c r="B14" s="3" t="s">
        <v>45</v>
      </c>
      <c r="C14" s="16" t="n">
        <v>14</v>
      </c>
      <c r="D14" s="16" t="n">
        <v>37</v>
      </c>
      <c r="E14" s="16" t="n">
        <v>41.5</v>
      </c>
      <c r="F14" s="16" t="n">
        <v>26.7</v>
      </c>
      <c r="G14" s="16" t="n">
        <v>26.1</v>
      </c>
      <c r="H14" s="16" t="n">
        <v>26.7</v>
      </c>
      <c r="I14" s="16" t="n">
        <v>19.3</v>
      </c>
      <c r="J14" s="16" t="n">
        <v>20.3</v>
      </c>
      <c r="K14" s="16" t="n">
        <v>19.6</v>
      </c>
    </row>
    <row r="15" customFormat="false" ht="15" hidden="false" customHeight="false" outlineLevel="0" collapsed="false">
      <c r="A15" s="3" t="s">
        <v>40</v>
      </c>
      <c r="B15" s="3" t="s">
        <v>46</v>
      </c>
      <c r="C15" s="16" t="n">
        <v>35.2</v>
      </c>
      <c r="D15" s="16" t="n">
        <v>25.9</v>
      </c>
      <c r="E15" s="16" t="n">
        <v>26.9</v>
      </c>
      <c r="F15" s="16" t="n">
        <v>14.2</v>
      </c>
      <c r="G15" s="16" t="n">
        <v>13</v>
      </c>
      <c r="H15" s="16" t="n">
        <v>11.6</v>
      </c>
      <c r="I15" s="16" t="n">
        <v>8.6</v>
      </c>
      <c r="J15" s="16" t="n">
        <v>9.5</v>
      </c>
      <c r="K15" s="16" t="n">
        <v>7.7</v>
      </c>
    </row>
    <row r="16" customFormat="false" ht="15" hidden="false" customHeight="false" outlineLevel="0" collapsed="false">
      <c r="A16" s="3" t="s">
        <v>47</v>
      </c>
      <c r="B16" s="3" t="s">
        <v>48</v>
      </c>
      <c r="C16" s="16" t="n">
        <v>24</v>
      </c>
      <c r="D16" s="16" t="n">
        <v>23.6</v>
      </c>
      <c r="E16" s="16" t="n">
        <v>23.5</v>
      </c>
      <c r="F16" s="16" t="n">
        <v>13.6</v>
      </c>
      <c r="G16" s="16" t="n">
        <v>9</v>
      </c>
      <c r="H16" s="16" t="n">
        <v>7.7</v>
      </c>
      <c r="I16" s="16" t="n">
        <v>6.2</v>
      </c>
      <c r="J16" s="16" t="n">
        <v>4.1</v>
      </c>
      <c r="K16" s="16" t="n">
        <v>3.5</v>
      </c>
    </row>
    <row r="17" customFormat="false" ht="15" hidden="false" customHeight="false" outlineLevel="0" collapsed="false">
      <c r="A17" s="3" t="s">
        <v>47</v>
      </c>
      <c r="B17" s="3" t="s">
        <v>49</v>
      </c>
      <c r="C17" s="16" t="n">
        <v>18.3</v>
      </c>
      <c r="D17" s="16" t="n">
        <v>21.6</v>
      </c>
      <c r="E17" s="16" t="n">
        <v>20.4</v>
      </c>
      <c r="F17" s="16" t="n">
        <v>12.4</v>
      </c>
      <c r="G17" s="16" t="n">
        <v>8.1</v>
      </c>
      <c r="H17" s="16" t="n">
        <v>7.1</v>
      </c>
      <c r="I17" s="16" t="n">
        <v>6.4</v>
      </c>
      <c r="J17" s="16" t="n">
        <v>3.4</v>
      </c>
      <c r="K17" s="16" t="n">
        <v>3</v>
      </c>
    </row>
    <row r="18" customFormat="false" ht="15" hidden="false" customHeight="false" outlineLevel="0" collapsed="false">
      <c r="A18" s="3" t="s">
        <v>47</v>
      </c>
      <c r="B18" s="3" t="s">
        <v>50</v>
      </c>
      <c r="C18" s="16" t="n">
        <v>16.6</v>
      </c>
      <c r="D18" s="16" t="n">
        <v>23.4</v>
      </c>
      <c r="E18" s="16" t="n">
        <v>23.5</v>
      </c>
      <c r="F18" s="16" t="n">
        <v>17</v>
      </c>
      <c r="G18" s="16" t="n">
        <v>12.2</v>
      </c>
      <c r="H18" s="16" t="n">
        <v>13.4</v>
      </c>
      <c r="I18" s="16" t="n">
        <v>10.2</v>
      </c>
      <c r="J18" s="16" t="n">
        <v>5.3</v>
      </c>
      <c r="K18" s="16" t="n">
        <v>6</v>
      </c>
    </row>
    <row r="19" customFormat="false" ht="15" hidden="false" customHeight="false" outlineLevel="0" collapsed="false">
      <c r="A19" s="3" t="s">
        <v>47</v>
      </c>
      <c r="B19" s="3" t="s">
        <v>51</v>
      </c>
      <c r="C19" s="16" t="n">
        <v>19.3</v>
      </c>
      <c r="D19" s="16" t="n">
        <v>20.4</v>
      </c>
      <c r="E19" s="16" t="n">
        <v>22.8</v>
      </c>
      <c r="F19" s="16" t="n">
        <v>14.7</v>
      </c>
      <c r="G19" s="16" t="n">
        <v>8.8</v>
      </c>
      <c r="H19" s="16" t="n">
        <v>8.8</v>
      </c>
      <c r="I19" s="16" t="n">
        <v>10.2</v>
      </c>
      <c r="J19" s="16" t="n">
        <v>6.1</v>
      </c>
      <c r="K19" s="16" t="n">
        <v>6.3</v>
      </c>
    </row>
    <row r="20" customFormat="false" ht="15" hidden="false" customHeight="false" outlineLevel="0" collapsed="false">
      <c r="A20" s="3" t="s">
        <v>47</v>
      </c>
      <c r="B20" s="3" t="s">
        <v>52</v>
      </c>
      <c r="C20" s="16" t="n">
        <v>21.3</v>
      </c>
      <c r="D20" s="16" t="n">
        <v>28.6</v>
      </c>
      <c r="E20" s="16" t="n">
        <v>31.9</v>
      </c>
      <c r="F20" s="16" t="n">
        <v>21.1</v>
      </c>
      <c r="G20" s="16" t="n">
        <v>16</v>
      </c>
      <c r="H20" s="16" t="n">
        <v>15</v>
      </c>
      <c r="I20" s="16" t="n">
        <v>17.9</v>
      </c>
      <c r="J20" s="16" t="n">
        <v>13.4</v>
      </c>
      <c r="K20" s="16" t="n">
        <v>11.8</v>
      </c>
    </row>
    <row r="21" customFormat="false" ht="15" hidden="false" customHeight="false" outlineLevel="0" collapsed="false">
      <c r="A21" s="3" t="s">
        <v>47</v>
      </c>
      <c r="B21" s="5" t="s">
        <v>53</v>
      </c>
      <c r="C21" s="16" t="n">
        <v>34.7</v>
      </c>
      <c r="D21" s="16" t="n">
        <v>24.3</v>
      </c>
      <c r="E21" s="16" t="n">
        <v>24.6</v>
      </c>
      <c r="F21" s="16" t="n">
        <v>19.8</v>
      </c>
      <c r="G21" s="16" t="n">
        <v>16.1</v>
      </c>
      <c r="H21" s="16" t="n">
        <v>16.4</v>
      </c>
      <c r="I21" s="16" t="n">
        <v>15.5</v>
      </c>
      <c r="J21" s="16" t="n">
        <v>11.1</v>
      </c>
      <c r="K21" s="16" t="n">
        <v>10</v>
      </c>
    </row>
    <row r="22" customFormat="false" ht="15" hidden="false" customHeight="false" outlineLevel="0" collapsed="false">
      <c r="A22" s="3" t="s">
        <v>47</v>
      </c>
      <c r="B22" s="5" t="s">
        <v>54</v>
      </c>
      <c r="C22" s="16" t="n">
        <v>25.4</v>
      </c>
      <c r="D22" s="16" t="n">
        <v>25.6</v>
      </c>
      <c r="E22" s="16" t="n">
        <v>28.6</v>
      </c>
      <c r="F22" s="16" t="n">
        <v>22</v>
      </c>
      <c r="G22" s="16" t="n">
        <v>20.5</v>
      </c>
      <c r="H22" s="16" t="n">
        <v>24.5</v>
      </c>
      <c r="I22" s="16" t="n">
        <v>23.4</v>
      </c>
      <c r="J22" s="16" t="n">
        <v>21</v>
      </c>
      <c r="K22" s="16" t="n">
        <v>24.6</v>
      </c>
    </row>
    <row r="23" customFormat="false" ht="15" hidden="false" customHeight="false" outlineLevel="0" collapsed="false">
      <c r="A23" s="3" t="s">
        <v>47</v>
      </c>
      <c r="B23" s="3" t="s">
        <v>55</v>
      </c>
      <c r="C23" s="16" t="n">
        <v>28.6</v>
      </c>
      <c r="D23" s="16" t="n">
        <v>28.2</v>
      </c>
      <c r="E23" s="16" t="n">
        <v>32.9</v>
      </c>
      <c r="F23" s="16" t="n">
        <v>23.8</v>
      </c>
      <c r="G23" s="16" t="n">
        <v>17.6</v>
      </c>
      <c r="H23" s="16" t="n">
        <v>20.9</v>
      </c>
      <c r="I23" s="16" t="n">
        <v>22.9</v>
      </c>
      <c r="J23" s="16" t="n">
        <v>15.4</v>
      </c>
      <c r="K23" s="16" t="n">
        <v>17.9</v>
      </c>
    </row>
    <row r="24" customFormat="false" ht="15" hidden="false" customHeight="false" outlineLevel="0" collapsed="false">
      <c r="A24" s="3" t="s">
        <v>47</v>
      </c>
      <c r="B24" s="3" t="s">
        <v>56</v>
      </c>
      <c r="C24" s="16" t="n">
        <v>33.4</v>
      </c>
      <c r="D24" s="16" t="n">
        <v>20.7</v>
      </c>
      <c r="E24" s="16" t="n">
        <v>22.4</v>
      </c>
      <c r="F24" s="16" t="n">
        <v>18.5</v>
      </c>
      <c r="G24" s="16" t="n">
        <v>15.1</v>
      </c>
      <c r="H24" s="16" t="n">
        <v>14.7</v>
      </c>
      <c r="I24" s="16" t="n">
        <v>19.4</v>
      </c>
      <c r="J24" s="16" t="n">
        <v>19.3</v>
      </c>
      <c r="K24" s="16" t="n">
        <v>20.2</v>
      </c>
    </row>
    <row r="25" customFormat="false" ht="15" hidden="false" customHeight="false" outlineLevel="0" collapsed="false">
      <c r="A25" s="3" t="s">
        <v>47</v>
      </c>
      <c r="B25" s="3" t="s">
        <v>57</v>
      </c>
      <c r="C25" s="16" t="n">
        <v>25.7</v>
      </c>
      <c r="D25" s="16" t="n">
        <v>15.9</v>
      </c>
      <c r="E25" s="16" t="n">
        <v>16.4</v>
      </c>
      <c r="F25" s="16" t="n">
        <v>14.7</v>
      </c>
      <c r="G25" s="16" t="n">
        <v>11.8</v>
      </c>
      <c r="H25" s="16" t="n">
        <v>12.1</v>
      </c>
      <c r="I25" s="16" t="n">
        <v>10.5</v>
      </c>
      <c r="J25" s="16" t="n">
        <v>8.5</v>
      </c>
      <c r="K25" s="16" t="n">
        <v>8.8</v>
      </c>
    </row>
    <row r="26" customFormat="false" ht="15" hidden="false" customHeight="false" outlineLevel="0" collapsed="false">
      <c r="A26" s="3" t="s">
        <v>47</v>
      </c>
      <c r="B26" s="3" t="s">
        <v>58</v>
      </c>
      <c r="C26" s="16" t="n">
        <v>20.4</v>
      </c>
      <c r="D26" s="16" t="n">
        <v>14</v>
      </c>
      <c r="E26" s="16" t="n">
        <v>12.9</v>
      </c>
      <c r="F26" s="16" t="n">
        <v>9.7</v>
      </c>
      <c r="G26" s="16" t="n">
        <v>6.8</v>
      </c>
      <c r="H26" s="16" t="n">
        <v>5.5</v>
      </c>
      <c r="I26" s="16" t="n">
        <v>5</v>
      </c>
      <c r="J26" s="16" t="n">
        <v>3.4</v>
      </c>
      <c r="K26" s="16" t="n">
        <v>2.5</v>
      </c>
    </row>
    <row r="27" customFormat="false" ht="15" hidden="false" customHeight="false" outlineLevel="0" collapsed="false">
      <c r="A27" s="3" t="s">
        <v>59</v>
      </c>
      <c r="B27" s="3" t="s">
        <v>60</v>
      </c>
      <c r="C27" s="16" t="n">
        <v>14.4</v>
      </c>
      <c r="D27" s="16" t="n">
        <v>42</v>
      </c>
      <c r="E27" s="16" t="n">
        <v>44.6</v>
      </c>
      <c r="F27" s="16" t="n">
        <v>25.8</v>
      </c>
      <c r="G27" s="16" t="n">
        <v>19</v>
      </c>
      <c r="H27" s="16" t="n">
        <v>18.9</v>
      </c>
      <c r="I27" s="16" t="n">
        <v>11.7</v>
      </c>
      <c r="J27" s="16" t="n">
        <v>8.5</v>
      </c>
      <c r="K27" s="16" t="n">
        <v>7.7</v>
      </c>
    </row>
    <row r="28" customFormat="false" ht="15" hidden="false" customHeight="false" outlineLevel="0" collapsed="false">
      <c r="A28" s="3" t="s">
        <v>59</v>
      </c>
      <c r="B28" s="3" t="s">
        <v>61</v>
      </c>
      <c r="C28" s="16" t="n">
        <v>35.1</v>
      </c>
      <c r="D28" s="16" t="n">
        <v>36.5</v>
      </c>
      <c r="E28" s="16" t="n">
        <v>43</v>
      </c>
      <c r="F28" s="16" t="n">
        <v>21.4</v>
      </c>
      <c r="G28" s="16" t="n">
        <v>16.2</v>
      </c>
      <c r="H28" s="16" t="n">
        <v>16.8</v>
      </c>
      <c r="I28" s="16" t="n">
        <v>10.1</v>
      </c>
      <c r="J28" s="16" t="n">
        <v>7.2</v>
      </c>
      <c r="K28" s="16" t="n">
        <v>7.5</v>
      </c>
    </row>
    <row r="29" customFormat="false" ht="15" hidden="false" customHeight="false" outlineLevel="0" collapsed="false">
      <c r="A29" s="3" t="s">
        <v>59</v>
      </c>
      <c r="B29" s="3" t="s">
        <v>62</v>
      </c>
      <c r="C29" s="16" t="n">
        <v>30.3</v>
      </c>
      <c r="D29" s="16" t="n">
        <v>32.8</v>
      </c>
      <c r="E29" s="16" t="n">
        <v>35.7</v>
      </c>
      <c r="F29" s="16" t="n">
        <v>22.9</v>
      </c>
      <c r="G29" s="16" t="n">
        <v>22.5</v>
      </c>
      <c r="H29" s="16" t="n">
        <v>21</v>
      </c>
      <c r="I29" s="16" t="n">
        <v>10.4</v>
      </c>
      <c r="J29" s="16" t="n">
        <v>9.2</v>
      </c>
      <c r="K29" s="16" t="n">
        <v>7.5</v>
      </c>
    </row>
    <row r="30" customFormat="false" ht="15" hidden="false" customHeight="false" outlineLevel="0" collapsed="false">
      <c r="A30" s="3" t="s">
        <v>63</v>
      </c>
      <c r="B30" s="3" t="s">
        <v>64</v>
      </c>
      <c r="C30" s="16" t="n">
        <v>26.6</v>
      </c>
      <c r="D30" s="16" t="n">
        <v>39.2</v>
      </c>
      <c r="E30" s="16" t="n">
        <v>40</v>
      </c>
      <c r="F30" s="16" t="n">
        <v>23.3</v>
      </c>
      <c r="G30" s="16" t="n">
        <v>21.5</v>
      </c>
      <c r="H30" s="16" t="n">
        <v>20.9</v>
      </c>
      <c r="I30" s="16" t="n">
        <v>14.8</v>
      </c>
      <c r="J30" s="16" t="n">
        <v>10.9</v>
      </c>
      <c r="K30" s="16" t="n">
        <v>10.8</v>
      </c>
    </row>
    <row r="31" customFormat="false" ht="15" hidden="false" customHeight="false" outlineLevel="0" collapsed="false">
      <c r="A31" s="3" t="s">
        <v>63</v>
      </c>
      <c r="B31" s="3" t="s">
        <v>65</v>
      </c>
      <c r="C31" s="16" t="n">
        <v>35.6</v>
      </c>
      <c r="D31" s="16" t="n">
        <v>35.9</v>
      </c>
      <c r="E31" s="16" t="n">
        <v>36.5</v>
      </c>
      <c r="F31" s="16" t="n">
        <v>25.5</v>
      </c>
      <c r="G31" s="16" t="n">
        <v>23.9</v>
      </c>
      <c r="H31" s="16" t="n">
        <v>23.4</v>
      </c>
      <c r="I31" s="16" t="n">
        <v>16.7</v>
      </c>
      <c r="J31" s="16" t="n">
        <v>14.7</v>
      </c>
      <c r="K31" s="16" t="n">
        <v>12.2</v>
      </c>
    </row>
    <row r="32" customFormat="false" ht="15" hidden="false" customHeight="false" outlineLevel="0" collapsed="false">
      <c r="A32" s="3" t="s">
        <v>63</v>
      </c>
      <c r="B32" s="3" t="s">
        <v>66</v>
      </c>
      <c r="C32" s="16" t="n">
        <v>33</v>
      </c>
      <c r="D32" s="16" t="n">
        <v>37.5</v>
      </c>
      <c r="E32" s="16" t="n">
        <v>43</v>
      </c>
      <c r="F32" s="16" t="n">
        <v>29.9</v>
      </c>
      <c r="G32" s="16" t="n">
        <v>27.7</v>
      </c>
      <c r="H32" s="16" t="n">
        <v>31</v>
      </c>
      <c r="I32" s="16" t="n">
        <v>41.5</v>
      </c>
      <c r="J32" s="16" t="n">
        <v>41.2</v>
      </c>
      <c r="K32" s="16" t="n">
        <v>43.4</v>
      </c>
    </row>
    <row r="33" customFormat="false" ht="15" hidden="false" customHeight="false" outlineLevel="0" collapsed="false">
      <c r="A33" s="3" t="s">
        <v>63</v>
      </c>
      <c r="B33" s="3" t="s">
        <v>67</v>
      </c>
      <c r="C33" s="16" t="n">
        <v>46.5</v>
      </c>
      <c r="D33" s="16" t="n">
        <v>26.1</v>
      </c>
      <c r="E33" s="16" t="n">
        <v>31.9</v>
      </c>
      <c r="F33" s="16" t="n">
        <v>27.8</v>
      </c>
      <c r="G33" s="16" t="n">
        <v>26.7</v>
      </c>
      <c r="H33" s="16" t="n">
        <v>29.6</v>
      </c>
      <c r="I33" s="16" t="n">
        <v>34</v>
      </c>
      <c r="J33" s="16" t="n">
        <v>29.1</v>
      </c>
      <c r="K33" s="16" t="n">
        <v>31.3</v>
      </c>
    </row>
    <row r="34" customFormat="false" ht="15" hidden="false" customHeight="false" outlineLevel="0" collapsed="false">
      <c r="A34" s="3" t="s">
        <v>63</v>
      </c>
      <c r="B34" s="3" t="s">
        <v>68</v>
      </c>
      <c r="C34" s="16" t="n">
        <v>36.8</v>
      </c>
      <c r="D34" s="16" t="n">
        <v>25.6</v>
      </c>
      <c r="E34" s="16" t="n">
        <v>29.9</v>
      </c>
      <c r="F34" s="16" t="n">
        <v>26.3</v>
      </c>
      <c r="G34" s="16" t="n">
        <v>26.1</v>
      </c>
      <c r="H34" s="16" t="n">
        <v>28.3</v>
      </c>
      <c r="I34" s="16" t="n">
        <v>29.3</v>
      </c>
      <c r="J34" s="16" t="n">
        <v>26.4</v>
      </c>
      <c r="K34" s="16" t="n">
        <v>31.2</v>
      </c>
    </row>
    <row r="35" customFormat="false" ht="15" hidden="false" customHeight="false" outlineLevel="0" collapsed="false">
      <c r="A35" s="3" t="s">
        <v>63</v>
      </c>
      <c r="B35" s="3" t="s">
        <v>69</v>
      </c>
      <c r="C35" s="16" t="n">
        <v>30.8</v>
      </c>
      <c r="D35" s="16" t="n">
        <v>39.5</v>
      </c>
      <c r="E35" s="16" t="n">
        <v>44.8</v>
      </c>
      <c r="F35" s="16" t="n">
        <v>35.5</v>
      </c>
      <c r="G35" s="16" t="n">
        <v>34.9</v>
      </c>
      <c r="H35" s="16" t="n">
        <v>36.4</v>
      </c>
      <c r="I35" s="16" t="n">
        <v>37.5</v>
      </c>
      <c r="J35" s="16" t="n">
        <v>33.3</v>
      </c>
      <c r="K35" s="16" t="n">
        <v>34.2</v>
      </c>
    </row>
    <row r="36" customFormat="false" ht="15" hidden="false" customHeight="false" outlineLevel="0" collapsed="false">
      <c r="A36" s="3" t="s">
        <v>70</v>
      </c>
      <c r="B36" s="3" t="s">
        <v>71</v>
      </c>
      <c r="C36" s="16" t="n">
        <v>47.1</v>
      </c>
      <c r="D36" s="16" t="n">
        <v>55.8</v>
      </c>
      <c r="E36" s="16" t="n">
        <v>58.5</v>
      </c>
      <c r="F36" s="16" t="n">
        <v>44.7</v>
      </c>
      <c r="G36" s="16" t="n">
        <v>44</v>
      </c>
      <c r="H36" s="16" t="n">
        <v>49.7</v>
      </c>
      <c r="I36" s="16" t="n">
        <v>62</v>
      </c>
      <c r="J36" s="16" t="n">
        <v>60.4</v>
      </c>
      <c r="K36" s="16" t="n">
        <v>68.2</v>
      </c>
    </row>
    <row r="37" customFormat="false" ht="15" hidden="false" customHeight="false" outlineLevel="0" collapsed="false">
      <c r="A37" s="3" t="s">
        <v>72</v>
      </c>
      <c r="B37" s="3" t="s">
        <v>73</v>
      </c>
      <c r="C37" s="16" t="n">
        <v>61.8</v>
      </c>
      <c r="D37" s="16" t="n">
        <v>14.1</v>
      </c>
      <c r="E37" s="16" t="n">
        <v>12.4</v>
      </c>
      <c r="F37" s="16" t="n">
        <v>16.5</v>
      </c>
      <c r="G37" s="16" t="n">
        <v>12.3</v>
      </c>
      <c r="H37" s="16" t="n">
        <v>13.1</v>
      </c>
      <c r="I37" s="16" t="n">
        <v>9.1</v>
      </c>
      <c r="J37" s="16" t="n">
        <v>6.2</v>
      </c>
      <c r="K37" s="16" t="n">
        <v>3.9</v>
      </c>
    </row>
    <row r="38" customFormat="false" ht="15" hidden="false" customHeight="false" outlineLevel="0" collapsed="false">
      <c r="A38" s="3" t="s">
        <v>72</v>
      </c>
      <c r="B38" s="3" t="s">
        <v>74</v>
      </c>
      <c r="C38" s="16" t="n">
        <v>15.2</v>
      </c>
      <c r="D38" s="16"/>
      <c r="E38" s="16"/>
      <c r="F38" s="16" t="n">
        <v>12.9</v>
      </c>
      <c r="G38" s="16" t="n">
        <v>10.3</v>
      </c>
      <c r="H38" s="16"/>
      <c r="I38" s="16" t="n">
        <v>5.9</v>
      </c>
      <c r="J38" s="16" t="n">
        <v>3.8</v>
      </c>
      <c r="K38" s="16"/>
    </row>
    <row r="39" customFormat="false" ht="15" hidden="false" customHeight="false" outlineLevel="0" collapsed="false">
      <c r="A39" s="3" t="s">
        <v>72</v>
      </c>
      <c r="B39" s="5" t="s">
        <v>75</v>
      </c>
      <c r="C39" s="16" t="n">
        <v>13.9</v>
      </c>
      <c r="D39" s="16" t="n">
        <v>12.5</v>
      </c>
      <c r="E39" s="16" t="n">
        <v>12.1</v>
      </c>
      <c r="F39" s="16" t="n">
        <v>13.3</v>
      </c>
      <c r="G39" s="16" t="n">
        <v>11.4</v>
      </c>
      <c r="H39" s="16" t="n">
        <v>9</v>
      </c>
      <c r="I39" s="16" t="n">
        <v>7</v>
      </c>
      <c r="J39" s="16" t="n">
        <v>3.6</v>
      </c>
      <c r="K39" s="16" t="n">
        <v>2.5</v>
      </c>
    </row>
    <row r="40" customFormat="false" ht="15" hidden="false" customHeight="false" outlineLevel="0" collapsed="false">
      <c r="A40" s="3" t="s">
        <v>72</v>
      </c>
      <c r="B40" s="3" t="s">
        <v>76</v>
      </c>
      <c r="C40" s="16" t="n">
        <v>14.5</v>
      </c>
      <c r="D40" s="16" t="n">
        <v>10.4</v>
      </c>
      <c r="E40" s="16" t="n">
        <v>10.6</v>
      </c>
      <c r="F40" s="16" t="n">
        <v>13.6</v>
      </c>
      <c r="G40" s="16" t="n">
        <v>9.9</v>
      </c>
      <c r="H40" s="16" t="n">
        <v>10.1</v>
      </c>
      <c r="I40" s="16" t="n">
        <v>5.7</v>
      </c>
      <c r="J40" s="16" t="n">
        <v>4</v>
      </c>
      <c r="K40" s="16" t="n">
        <v>2.7</v>
      </c>
    </row>
  </sheetData>
  <mergeCells count="5">
    <mergeCell ref="A4:A5"/>
    <mergeCell ref="B4:B5"/>
    <mergeCell ref="C4:E4"/>
    <mergeCell ref="F4:H4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6" min="3" style="0" width="11"/>
  </cols>
  <sheetData>
    <row r="1" customFormat="false" ht="21.6" hidden="false" customHeight="false" outlineLevel="0" collapsed="false">
      <c r="A1" s="17" t="s">
        <v>77</v>
      </c>
    </row>
    <row r="2" customFormat="false" ht="15" hidden="false" customHeight="false" outlineLevel="0" collapsed="false">
      <c r="A2" s="6" t="s">
        <v>78</v>
      </c>
    </row>
    <row r="4" customFormat="false" ht="31.5" hidden="false" customHeight="true" outlineLevel="0" collapsed="false">
      <c r="A4" s="7" t="s">
        <v>27</v>
      </c>
      <c r="B4" s="7" t="s">
        <v>28</v>
      </c>
      <c r="C4" s="7" t="s">
        <v>79</v>
      </c>
      <c r="D4" s="7" t="s">
        <v>80</v>
      </c>
      <c r="E4" s="7" t="s">
        <v>81</v>
      </c>
      <c r="F4" s="18" t="s">
        <v>82</v>
      </c>
      <c r="G4" s="7" t="s">
        <v>83</v>
      </c>
      <c r="H4" s="7" t="s">
        <v>84</v>
      </c>
      <c r="I4" s="7" t="s">
        <v>85</v>
      </c>
      <c r="J4" s="7" t="s">
        <v>86</v>
      </c>
      <c r="K4" s="7" t="s">
        <v>87</v>
      </c>
      <c r="L4" s="7" t="s">
        <v>88</v>
      </c>
      <c r="M4" s="7" t="s">
        <v>89</v>
      </c>
      <c r="N4" s="7" t="s">
        <v>90</v>
      </c>
      <c r="O4" s="7" t="s">
        <v>91</v>
      </c>
      <c r="P4" s="7" t="s">
        <v>92</v>
      </c>
    </row>
    <row r="5" customFormat="false" ht="15" hidden="false" customHeight="false" outlineLevel="0" collapsed="false">
      <c r="A5" s="3" t="str">
        <f aca="false">통합데이터!A7</f>
        <v>TV·라디오</v>
      </c>
      <c r="B5" s="3" t="str">
        <f aca="false">통합데이터!B7</f>
        <v>TV 광고</v>
      </c>
      <c r="C5" s="16" t="n">
        <f aca="false">IF(통합데이터!C7="","",통합데이터!C7)</f>
        <v>77.7</v>
      </c>
      <c r="D5" s="16" t="n">
        <f aca="false">IF(통합데이터!F7="","",통합데이터!F7)</f>
        <v>62.6</v>
      </c>
      <c r="E5" s="16" t="n">
        <f aca="false">IF(통합데이터!I7="","",통합데이터!I7)</f>
        <v>51.6</v>
      </c>
      <c r="F5" s="16" t="n">
        <f aca="false">IF(COUNT(C5:E5)=3,AVERAGE(C5:E5),"")</f>
        <v>63.9666666666667</v>
      </c>
      <c r="G5" s="19" t="n">
        <f aca="false">IF(OR(C5="",E5=""),"",IF(C5=0,"",E5/C5))</f>
        <v>0.664092664092664</v>
      </c>
      <c r="H5" s="19" t="n">
        <f aca="false">IF(OR(D5="",E5=""),"",IF(D5=0,"",E5/D5))</f>
        <v>0.824281150159745</v>
      </c>
      <c r="I5" s="20" t="n">
        <f aca="false">IF(C5="","",RANK(C5,$C$5:$C$38))</f>
        <v>1</v>
      </c>
      <c r="J5" s="20" t="n">
        <f aca="false">IF(D5="","",RANK(D5,$D$5:$D$38))</f>
        <v>1</v>
      </c>
      <c r="K5" s="20" t="n">
        <f aca="false">IF(E5="","",RANK(E5,$E$5:$E$38))</f>
        <v>2</v>
      </c>
      <c r="L5" s="20" t="n">
        <f aca="false">IF(F5="","",RANK(F5,$F$5:$F$38))</f>
        <v>1</v>
      </c>
      <c r="M5" s="20" t="n">
        <f aca="false">IF(C5="","",RANK(C5,$C$5:$C$38)+COUNTIF($C$4:C4,C5))</f>
        <v>1</v>
      </c>
      <c r="N5" s="20" t="n">
        <f aca="false">IF(D5="","",RANK(D5,$D$5:$D$38)+COUNTIF($D$4:D4,D5))</f>
        <v>1</v>
      </c>
      <c r="O5" s="20" t="n">
        <f aca="false">IF(E5="","",RANK(E5,$E$5:$E$38)+COUNTIF($E$4:E4,E5))</f>
        <v>2</v>
      </c>
      <c r="P5" s="20" t="n">
        <f aca="false">IF(F5="","",RANK(F5,$F$5:$F$38)+COUNTIF($F$4:F4,F5))</f>
        <v>1</v>
      </c>
    </row>
    <row r="6" customFormat="false" ht="15" hidden="false" customHeight="false" outlineLevel="0" collapsed="false">
      <c r="A6" s="3" t="str">
        <f aca="false">통합데이터!A8</f>
        <v>TV·라디오</v>
      </c>
      <c r="B6" s="3" t="str">
        <f aca="false">통합데이터!B8</f>
        <v>드라마 등 TV프로그램 속 간접광고(PPL)</v>
      </c>
      <c r="C6" s="16" t="str">
        <f aca="false">IF(통합데이터!C8="","",통합데이터!C8)</f>
        <v/>
      </c>
      <c r="D6" s="16" t="n">
        <f aca="false">IF(통합데이터!F8="","",통합데이터!F8)</f>
        <v>33.4</v>
      </c>
      <c r="E6" s="16" t="n">
        <f aca="false">IF(통합데이터!I8="","",통합데이터!I8)</f>
        <v>20.7</v>
      </c>
      <c r="F6" s="16" t="str">
        <f aca="false">IF(COUNT(C6:E6)=3,AVERAGE(C6:E6),"")</f>
        <v/>
      </c>
      <c r="G6" s="19" t="str">
        <f aca="false">IF(OR(C6="",E6=""),"",IF(C6=0,"",E6/C6))</f>
        <v/>
      </c>
      <c r="H6" s="19" t="n">
        <f aca="false">IF(OR(D6="",E6=""),"",IF(D6=0,"",E6/D6))</f>
        <v>0.619760479041916</v>
      </c>
      <c r="I6" s="20" t="str">
        <f aca="false">IF(C6="","",RANK(C6,$C$5:$C$38))</f>
        <v/>
      </c>
      <c r="J6" s="20" t="n">
        <f aca="false">IF(D6="","",RANK(D6,$D$5:$D$38))</f>
        <v>4</v>
      </c>
      <c r="K6" s="20" t="n">
        <f aca="false">IF(E6="","",RANK(E6,$E$5:$E$38))</f>
        <v>9</v>
      </c>
      <c r="L6" s="20" t="str">
        <f aca="false">IF(F6="","",RANK(F6,$F$5:$F$38))</f>
        <v/>
      </c>
      <c r="M6" s="20" t="str">
        <f aca="false">IF(C6="","",RANK(C6,$C$5:$C$38)+COUNTIF($C$4:C5,C6))</f>
        <v/>
      </c>
      <c r="N6" s="20" t="n">
        <f aca="false">IF(D6="","",RANK(D6,$D$5:$D$38)+COUNTIF($D$4:D5,D6))</f>
        <v>4</v>
      </c>
      <c r="O6" s="20" t="n">
        <f aca="false">IF(E6="","",RANK(E6,$E$5:$E$38)+COUNTIF($E$4:E5,E6))</f>
        <v>9</v>
      </c>
      <c r="P6" s="20" t="str">
        <f aca="false">IF(F6="","",RANK(F6,$F$5:$F$38)+COUNTIF($F$4:F5,F6))</f>
        <v/>
      </c>
    </row>
    <row r="7" customFormat="false" ht="15" hidden="false" customHeight="false" outlineLevel="0" collapsed="false">
      <c r="A7" s="3" t="str">
        <f aca="false">통합데이터!A9</f>
        <v>TV·라디오</v>
      </c>
      <c r="B7" s="3" t="str">
        <f aca="false">통합데이터!B9</f>
        <v>라디오 광고</v>
      </c>
      <c r="C7" s="16" t="n">
        <f aca="false">IF(통합데이터!C9="","",통합데이터!C9)</f>
        <v>34</v>
      </c>
      <c r="D7" s="16" t="n">
        <f aca="false">IF(통합데이터!F9="","",통합데이터!F9)</f>
        <v>9.5</v>
      </c>
      <c r="E7" s="16" t="n">
        <f aca="false">IF(통합데이터!I9="","",통합데이터!I9)</f>
        <v>4.9</v>
      </c>
      <c r="F7" s="16" t="n">
        <f aca="false">IF(COUNT(C7:E7)=3,AVERAGE(C7:E7),"")</f>
        <v>16.1333333333333</v>
      </c>
      <c r="G7" s="19" t="n">
        <f aca="false">IF(OR(C7="",E7=""),"",IF(C7=0,"",E7/C7))</f>
        <v>0.144117647058824</v>
      </c>
      <c r="H7" s="19" t="n">
        <f aca="false">IF(OR(D7="",E7=""),"",IF(D7=0,"",E7/D7))</f>
        <v>0.515789473684211</v>
      </c>
      <c r="I7" s="20" t="n">
        <f aca="false">IF(C7="","",RANK(C7,$C$5:$C$38))</f>
        <v>10</v>
      </c>
      <c r="J7" s="20" t="n">
        <f aca="false">IF(D7="","",RANK(D7,$D$5:$D$38))</f>
        <v>34</v>
      </c>
      <c r="K7" s="20" t="n">
        <f aca="false">IF(E7="","",RANK(E7,$E$5:$E$38))</f>
        <v>34</v>
      </c>
      <c r="L7" s="20" t="n">
        <f aca="false">IF(F7="","",RANK(F7,$F$5:$F$38))</f>
        <v>21</v>
      </c>
      <c r="M7" s="20" t="n">
        <f aca="false">IF(C7="","",RANK(C7,$C$5:$C$38)+COUNTIF($C$4:C6,C7))</f>
        <v>10</v>
      </c>
      <c r="N7" s="20" t="n">
        <f aca="false">IF(D7="","",RANK(D7,$D$5:$D$38)+COUNTIF($D$4:D6,D7))</f>
        <v>34</v>
      </c>
      <c r="O7" s="20" t="n">
        <f aca="false">IF(E7="","",RANK(E7,$E$5:$E$38)+COUNTIF($E$4:E6,E7))</f>
        <v>34</v>
      </c>
      <c r="P7" s="20" t="n">
        <f aca="false">IF(F7="","",RANK(F7,$F$5:$F$38)+COUNTIF($F$4:F6,F7))</f>
        <v>21</v>
      </c>
    </row>
    <row r="8" customFormat="false" ht="15" hidden="false" customHeight="false" outlineLevel="0" collapsed="false">
      <c r="A8" s="3" t="str">
        <f aca="false">통합데이터!A10</f>
        <v>인쇄·DM</v>
      </c>
      <c r="B8" s="3" t="str">
        <f aca="false">통합데이터!B10</f>
        <v>신문 광고</v>
      </c>
      <c r="C8" s="16" t="n">
        <f aca="false">IF(통합데이터!C10="","",통합데이터!C10)</f>
        <v>15.4</v>
      </c>
      <c r="D8" s="16" t="n">
        <f aca="false">IF(통합데이터!F10="","",통합데이터!F10)</f>
        <v>12.9</v>
      </c>
      <c r="E8" s="16" t="n">
        <f aca="false">IF(통합데이터!I10="","",통합데이터!I10)</f>
        <v>7</v>
      </c>
      <c r="F8" s="16" t="n">
        <f aca="false">IF(COUNT(C8:E8)=3,AVERAGE(C8:E8),"")</f>
        <v>11.7666666666667</v>
      </c>
      <c r="G8" s="19" t="n">
        <f aca="false">IF(OR(C8="",E8=""),"",IF(C8=0,"",E8/C8))</f>
        <v>0.454545454545455</v>
      </c>
      <c r="H8" s="19" t="n">
        <f aca="false">IF(OR(D8="",E8=""),"",IF(D8=0,"",E8/D8))</f>
        <v>0.542635658914729</v>
      </c>
      <c r="I8" s="20" t="n">
        <f aca="false">IF(C8="","",RANK(C8,$C$5:$C$38))</f>
        <v>27</v>
      </c>
      <c r="J8" s="20" t="n">
        <f aca="false">IF(D8="","",RANK(D8,$D$5:$D$38))</f>
        <v>28</v>
      </c>
      <c r="K8" s="20" t="n">
        <f aca="false">IF(E8="","",RANK(E8,$E$5:$E$38))</f>
        <v>27</v>
      </c>
      <c r="L8" s="20" t="n">
        <f aca="false">IF(F8="","",RANK(F8,$F$5:$F$38))</f>
        <v>29</v>
      </c>
      <c r="M8" s="20" t="n">
        <f aca="false">IF(C8="","",RANK(C8,$C$5:$C$38)+COUNTIF($C$4:C7,C8))</f>
        <v>27</v>
      </c>
      <c r="N8" s="20" t="n">
        <f aca="false">IF(D8="","",RANK(D8,$D$5:$D$38)+COUNTIF($D$4:D7,D8))</f>
        <v>28</v>
      </c>
      <c r="O8" s="20" t="n">
        <f aca="false">IF(E8="","",RANK(E8,$E$5:$E$38)+COUNTIF($E$4:E7,E8))</f>
        <v>27</v>
      </c>
      <c r="P8" s="20" t="n">
        <f aca="false">IF(F8="","",RANK(F8,$F$5:$F$38)+COUNTIF($F$4:F7,F8))</f>
        <v>29</v>
      </c>
    </row>
    <row r="9" customFormat="false" ht="15" hidden="false" customHeight="false" outlineLevel="0" collapsed="false">
      <c r="A9" s="3" t="str">
        <f aca="false">통합데이터!A11</f>
        <v>인쇄·DM</v>
      </c>
      <c r="B9" s="3" t="str">
        <f aca="false">통합데이터!B11</f>
        <v>신문 기사</v>
      </c>
      <c r="C9" s="16" t="n">
        <f aca="false">IF(통합데이터!C11="","",통합데이터!C11)</f>
        <v>17.5</v>
      </c>
      <c r="D9" s="16" t="n">
        <f aca="false">IF(통합데이터!F11="","",통합데이터!F11)</f>
        <v>11.1</v>
      </c>
      <c r="E9" s="16" t="n">
        <f aca="false">IF(통합데이터!I11="","",통합데이터!I11)</f>
        <v>7.7</v>
      </c>
      <c r="F9" s="16" t="n">
        <f aca="false">IF(COUNT(C9:E9)=3,AVERAGE(C9:E9),"")</f>
        <v>12.1</v>
      </c>
      <c r="G9" s="19" t="n">
        <f aca="false">IF(OR(C9="",E9=""),"",IF(C9=0,"",E9/C9))</f>
        <v>0.44</v>
      </c>
      <c r="H9" s="19" t="n">
        <f aca="false">IF(OR(D9="",E9=""),"",IF(D9=0,"",E9/D9))</f>
        <v>0.693693693693694</v>
      </c>
      <c r="I9" s="20" t="n">
        <f aca="false">IF(C9="","",RANK(C9,$C$5:$C$38))</f>
        <v>24</v>
      </c>
      <c r="J9" s="20" t="n">
        <f aca="false">IF(D9="","",RANK(D9,$D$5:$D$38))</f>
        <v>32</v>
      </c>
      <c r="K9" s="20" t="n">
        <f aca="false">IF(E9="","",RANK(E9,$E$5:$E$38))</f>
        <v>25</v>
      </c>
      <c r="L9" s="20" t="n">
        <f aca="false">IF(F9="","",RANK(F9,$F$5:$F$38))</f>
        <v>27</v>
      </c>
      <c r="M9" s="20" t="n">
        <f aca="false">IF(C9="","",RANK(C9,$C$5:$C$38)+COUNTIF($C$4:C8,C9))</f>
        <v>24</v>
      </c>
      <c r="N9" s="20" t="n">
        <f aca="false">IF(D9="","",RANK(D9,$D$5:$D$38)+COUNTIF($D$4:D8,D9))</f>
        <v>32</v>
      </c>
      <c r="O9" s="20" t="n">
        <f aca="false">IF(E9="","",RANK(E9,$E$5:$E$38)+COUNTIF($E$4:E8,E9))</f>
        <v>25</v>
      </c>
      <c r="P9" s="20" t="n">
        <f aca="false">IF(F9="","",RANK(F9,$F$5:$F$38)+COUNTIF($F$4:F8,F9))</f>
        <v>27</v>
      </c>
    </row>
    <row r="10" customFormat="false" ht="15" hidden="false" customHeight="false" outlineLevel="0" collapsed="false">
      <c r="A10" s="3" t="str">
        <f aca="false">통합데이터!A12</f>
        <v>인쇄·DM</v>
      </c>
      <c r="B10" s="3" t="str">
        <f aca="false">통합데이터!B12</f>
        <v>잡지 광고</v>
      </c>
      <c r="C10" s="16" t="n">
        <f aca="false">IF(통합데이터!C12="","",통합데이터!C12)</f>
        <v>16.2</v>
      </c>
      <c r="D10" s="16" t="n">
        <f aca="false">IF(통합데이터!F12="","",통합데이터!F12)</f>
        <v>18.7</v>
      </c>
      <c r="E10" s="16" t="n">
        <f aca="false">IF(통합데이터!I12="","",통합데이터!I12)</f>
        <v>7.7</v>
      </c>
      <c r="F10" s="16" t="n">
        <f aca="false">IF(COUNT(C10:E10)=3,AVERAGE(C10:E10),"")</f>
        <v>14.2</v>
      </c>
      <c r="G10" s="19" t="n">
        <f aca="false">IF(OR(C10="",E10=""),"",IF(C10=0,"",E10/C10))</f>
        <v>0.475308641975309</v>
      </c>
      <c r="H10" s="19" t="n">
        <f aca="false">IF(OR(D10="",E10=""),"",IF(D10=0,"",E10/D10))</f>
        <v>0.411764705882353</v>
      </c>
      <c r="I10" s="20" t="n">
        <f aca="false">IF(C10="","",RANK(C10,$C$5:$C$38))</f>
        <v>26</v>
      </c>
      <c r="J10" s="20" t="n">
        <f aca="false">IF(D10="","",RANK(D10,$D$5:$D$38))</f>
        <v>18</v>
      </c>
      <c r="K10" s="20" t="n">
        <f aca="false">IF(E10="","",RANK(E10,$E$5:$E$38))</f>
        <v>25</v>
      </c>
      <c r="L10" s="20" t="n">
        <f aca="false">IF(F10="","",RANK(F10,$F$5:$F$38))</f>
        <v>25</v>
      </c>
      <c r="M10" s="20" t="n">
        <f aca="false">IF(C10="","",RANK(C10,$C$5:$C$38)+COUNTIF($C$4:C9,C10))</f>
        <v>26</v>
      </c>
      <c r="N10" s="20" t="n">
        <f aca="false">IF(D10="","",RANK(D10,$D$5:$D$38)+COUNTIF($D$4:D9,D10))</f>
        <v>18</v>
      </c>
      <c r="O10" s="20" t="n">
        <f aca="false">IF(E10="","",RANK(E10,$E$5:$E$38)+COUNTIF($E$4:E9,E10))</f>
        <v>26</v>
      </c>
      <c r="P10" s="20" t="n">
        <f aca="false">IF(F10="","",RANK(F10,$F$5:$F$38)+COUNTIF($F$4:F9,F10))</f>
        <v>25</v>
      </c>
    </row>
    <row r="11" customFormat="false" ht="15" hidden="false" customHeight="false" outlineLevel="0" collapsed="false">
      <c r="A11" s="3" t="str">
        <f aca="false">통합데이터!A13</f>
        <v>인쇄·DM</v>
      </c>
      <c r="B11" s="3" t="str">
        <f aca="false">통합데이터!B13</f>
        <v>잡지 기사</v>
      </c>
      <c r="C11" s="16" t="n">
        <f aca="false">IF(통합데이터!C13="","",통합데이터!C13)</f>
        <v>15.1</v>
      </c>
      <c r="D11" s="16" t="n">
        <f aca="false">IF(통합데이터!F13="","",통합데이터!F13)</f>
        <v>12.4</v>
      </c>
      <c r="E11" s="16" t="n">
        <f aca="false">IF(통합데이터!I13="","",통합데이터!I13)</f>
        <v>8.6</v>
      </c>
      <c r="F11" s="16" t="n">
        <f aca="false">IF(COUNT(C11:E11)=3,AVERAGE(C11:E11),"")</f>
        <v>12.0333333333333</v>
      </c>
      <c r="G11" s="19" t="n">
        <f aca="false">IF(OR(C11="",E11=""),"",IF(C11=0,"",E11/C11))</f>
        <v>0.56953642384106</v>
      </c>
      <c r="H11" s="19" t="n">
        <f aca="false">IF(OR(D11="",E11=""),"",IF(D11=0,"",E11/D11))</f>
        <v>0.693548387096774</v>
      </c>
      <c r="I11" s="20" t="n">
        <f aca="false">IF(C11="","",RANK(C11,$C$5:$C$38))</f>
        <v>29</v>
      </c>
      <c r="J11" s="20" t="n">
        <f aca="false">IF(D11="","",RANK(D11,$D$5:$D$38))</f>
        <v>30</v>
      </c>
      <c r="K11" s="20" t="n">
        <f aca="false">IF(E11="","",RANK(E11,$E$5:$E$38))</f>
        <v>23</v>
      </c>
      <c r="L11" s="20" t="n">
        <f aca="false">IF(F11="","",RANK(F11,$F$5:$F$38))</f>
        <v>28</v>
      </c>
      <c r="M11" s="20" t="n">
        <f aca="false">IF(C11="","",RANK(C11,$C$5:$C$38)+COUNTIF($C$4:C10,C11))</f>
        <v>29</v>
      </c>
      <c r="N11" s="20" t="n">
        <f aca="false">IF(D11="","",RANK(D11,$D$5:$D$38)+COUNTIF($D$4:D10,D11))</f>
        <v>30</v>
      </c>
      <c r="O11" s="20" t="n">
        <f aca="false">IF(E11="","",RANK(E11,$E$5:$E$38)+COUNTIF($E$4:E10,E11))</f>
        <v>23</v>
      </c>
      <c r="P11" s="20" t="n">
        <f aca="false">IF(F11="","",RANK(F11,$F$5:$F$38)+COUNTIF($F$4:F10,F11))</f>
        <v>28</v>
      </c>
    </row>
    <row r="12" customFormat="false" ht="15" hidden="false" customHeight="false" outlineLevel="0" collapsed="false">
      <c r="A12" s="3" t="str">
        <f aca="false">통합데이터!A14</f>
        <v>인쇄·DM</v>
      </c>
      <c r="B12" s="3" t="str">
        <f aca="false">통합데이터!B14</f>
        <v>제품 카달로그/전단지</v>
      </c>
      <c r="C12" s="16" t="n">
        <f aca="false">IF(통합데이터!C14="","",통합데이터!C14)</f>
        <v>14</v>
      </c>
      <c r="D12" s="16" t="n">
        <f aca="false">IF(통합데이터!F14="","",통합데이터!F14)</f>
        <v>26.7</v>
      </c>
      <c r="E12" s="16" t="n">
        <f aca="false">IF(통합데이터!I14="","",통합데이터!I14)</f>
        <v>19.3</v>
      </c>
      <c r="F12" s="16" t="n">
        <f aca="false">IF(COUNT(C12:E12)=3,AVERAGE(C12:E12),"")</f>
        <v>20</v>
      </c>
      <c r="G12" s="19" t="n">
        <f aca="false">IF(OR(C12="",E12=""),"",IF(C12=0,"",E12/C12))</f>
        <v>1.37857142857143</v>
      </c>
      <c r="H12" s="19" t="n">
        <f aca="false">IF(OR(D12="",E12=""),"",IF(D12=0,"",E12/D12))</f>
        <v>0.722846441947566</v>
      </c>
      <c r="I12" s="20" t="n">
        <f aca="false">IF(C12="","",RANK(C12,$C$5:$C$38))</f>
        <v>32</v>
      </c>
      <c r="J12" s="20" t="n">
        <f aca="false">IF(D12="","",RANK(D12,$D$5:$D$38))</f>
        <v>7</v>
      </c>
      <c r="K12" s="20" t="n">
        <f aca="false">IF(E12="","",RANK(E12,$E$5:$E$38))</f>
        <v>11</v>
      </c>
      <c r="L12" s="20" t="n">
        <f aca="false">IF(F12="","",RANK(F12,$F$5:$F$38))</f>
        <v>17</v>
      </c>
      <c r="M12" s="20" t="n">
        <f aca="false">IF(C12="","",RANK(C12,$C$5:$C$38)+COUNTIF($C$4:C11,C12))</f>
        <v>32</v>
      </c>
      <c r="N12" s="20" t="n">
        <f aca="false">IF(D12="","",RANK(D12,$D$5:$D$38)+COUNTIF($D$4:D11,D12))</f>
        <v>7</v>
      </c>
      <c r="O12" s="20" t="n">
        <f aca="false">IF(E12="","",RANK(E12,$E$5:$E$38)+COUNTIF($E$4:E11,E12))</f>
        <v>11</v>
      </c>
      <c r="P12" s="20" t="n">
        <f aca="false">IF(F12="","",RANK(F12,$F$5:$F$38)+COUNTIF($F$4:F11,F12))</f>
        <v>17</v>
      </c>
    </row>
    <row r="13" customFormat="false" ht="15" hidden="false" customHeight="false" outlineLevel="0" collapsed="false">
      <c r="A13" s="3" t="str">
        <f aca="false">통합데이터!A15</f>
        <v>인쇄·DM</v>
      </c>
      <c r="B13" s="3" t="str">
        <f aca="false">통합데이터!B15</f>
        <v>광고 우편물/명세서 등</v>
      </c>
      <c r="C13" s="16" t="n">
        <f aca="false">IF(통합데이터!C15="","",통합데이터!C15)</f>
        <v>35.2</v>
      </c>
      <c r="D13" s="16" t="n">
        <f aca="false">IF(통합데이터!F15="","",통합데이터!F15)</f>
        <v>14.2</v>
      </c>
      <c r="E13" s="16" t="n">
        <f aca="false">IF(통합데이터!I15="","",통합데이터!I15)</f>
        <v>8.6</v>
      </c>
      <c r="F13" s="16" t="n">
        <f aca="false">IF(COUNT(C13:E13)=3,AVERAGE(C13:E13),"")</f>
        <v>19.3333333333333</v>
      </c>
      <c r="G13" s="19" t="n">
        <f aca="false">IF(OR(C13="",E13=""),"",IF(C13=0,"",E13/C13))</f>
        <v>0.244318181818182</v>
      </c>
      <c r="H13" s="19" t="n">
        <f aca="false">IF(OR(D13="",E13=""),"",IF(D13=0,"",E13/D13))</f>
        <v>0.605633802816901</v>
      </c>
      <c r="I13" s="20" t="n">
        <f aca="false">IF(C13="","",RANK(C13,$C$5:$C$38))</f>
        <v>7</v>
      </c>
      <c r="J13" s="20" t="n">
        <f aca="false">IF(D13="","",RANK(D13,$D$5:$D$38))</f>
        <v>24</v>
      </c>
      <c r="K13" s="20" t="n">
        <f aca="false">IF(E13="","",RANK(E13,$E$5:$E$38))</f>
        <v>23</v>
      </c>
      <c r="L13" s="20" t="n">
        <f aca="false">IF(F13="","",RANK(F13,$F$5:$F$38))</f>
        <v>18</v>
      </c>
      <c r="M13" s="20" t="n">
        <f aca="false">IF(C13="","",RANK(C13,$C$5:$C$38)+COUNTIF($C$4:C12,C13))</f>
        <v>7</v>
      </c>
      <c r="N13" s="20" t="n">
        <f aca="false">IF(D13="","",RANK(D13,$D$5:$D$38)+COUNTIF($D$4:D12,D13))</f>
        <v>24</v>
      </c>
      <c r="O13" s="20" t="n">
        <f aca="false">IF(E13="","",RANK(E13,$E$5:$E$38)+COUNTIF($E$4:E12,E13))</f>
        <v>24</v>
      </c>
      <c r="P13" s="20" t="n">
        <f aca="false">IF(F13="","",RANK(F13,$F$5:$F$38)+COUNTIF($F$4:F12,F13))</f>
        <v>18</v>
      </c>
    </row>
    <row r="14" customFormat="false" ht="15" hidden="false" customHeight="false" outlineLevel="0" collapsed="false">
      <c r="A14" s="3" t="str">
        <f aca="false">통합데이터!A16</f>
        <v>온라인·디지털</v>
      </c>
      <c r="B14" s="3" t="str">
        <f aca="false">통합데이터!B16</f>
        <v>배너 광고</v>
      </c>
      <c r="C14" s="16" t="n">
        <f aca="false">IF(통합데이터!C16="","",통합데이터!C16)</f>
        <v>24</v>
      </c>
      <c r="D14" s="16" t="n">
        <f aca="false">IF(통합데이터!F16="","",통합데이터!F16)</f>
        <v>13.6</v>
      </c>
      <c r="E14" s="16" t="n">
        <f aca="false">IF(통합데이터!I16="","",통합데이터!I16)</f>
        <v>6.2</v>
      </c>
      <c r="F14" s="16" t="n">
        <f aca="false">IF(COUNT(C14:E14)=3,AVERAGE(C14:E14),"")</f>
        <v>14.6</v>
      </c>
      <c r="G14" s="19" t="n">
        <f aca="false">IF(OR(C14="",E14=""),"",IF(C14=0,"",E14/C14))</f>
        <v>0.258333333333333</v>
      </c>
      <c r="H14" s="19" t="n">
        <f aca="false">IF(OR(D14="",E14=""),"",IF(D14=0,"",E14/D14))</f>
        <v>0.455882352941177</v>
      </c>
      <c r="I14" s="20" t="n">
        <f aca="false">IF(C14="","",RANK(C14,$C$5:$C$38))</f>
        <v>19</v>
      </c>
      <c r="J14" s="20" t="n">
        <f aca="false">IF(D14="","",RANK(D14,$D$5:$D$38))</f>
        <v>25</v>
      </c>
      <c r="K14" s="20" t="n">
        <f aca="false">IF(E14="","",RANK(E14,$E$5:$E$38))</f>
        <v>30</v>
      </c>
      <c r="L14" s="20" t="n">
        <f aca="false">IF(F14="","",RANK(F14,$F$5:$F$38))</f>
        <v>23</v>
      </c>
      <c r="M14" s="20" t="n">
        <f aca="false">IF(C14="","",RANK(C14,$C$5:$C$38)+COUNTIF($C$4:C13,C14))</f>
        <v>19</v>
      </c>
      <c r="N14" s="20" t="n">
        <f aca="false">IF(D14="","",RANK(D14,$D$5:$D$38)+COUNTIF($D$4:D13,D14))</f>
        <v>25</v>
      </c>
      <c r="O14" s="20" t="n">
        <f aca="false">IF(E14="","",RANK(E14,$E$5:$E$38)+COUNTIF($E$4:E13,E14))</f>
        <v>30</v>
      </c>
      <c r="P14" s="20" t="n">
        <f aca="false">IF(F14="","",RANK(F14,$F$5:$F$38)+COUNTIF($F$4:F13,F14))</f>
        <v>23</v>
      </c>
    </row>
    <row r="15" customFormat="false" ht="15" hidden="false" customHeight="false" outlineLevel="0" collapsed="false">
      <c r="A15" s="3" t="str">
        <f aca="false">통합데이터!A17</f>
        <v>온라인·디지털</v>
      </c>
      <c r="B15" s="3" t="str">
        <f aca="false">통합데이터!B17</f>
        <v>팝업 광고</v>
      </c>
      <c r="C15" s="16" t="n">
        <f aca="false">IF(통합데이터!C17="","",통합데이터!C17)</f>
        <v>18.3</v>
      </c>
      <c r="D15" s="16" t="n">
        <f aca="false">IF(통합데이터!F17="","",통합데이터!F17)</f>
        <v>12.4</v>
      </c>
      <c r="E15" s="16" t="n">
        <f aca="false">IF(통합데이터!I17="","",통합데이터!I17)</f>
        <v>6.4</v>
      </c>
      <c r="F15" s="16" t="n">
        <f aca="false">IF(COUNT(C15:E15)=3,AVERAGE(C15:E15),"")</f>
        <v>12.3666666666667</v>
      </c>
      <c r="G15" s="19" t="n">
        <f aca="false">IF(OR(C15="",E15=""),"",IF(C15=0,"",E15/C15))</f>
        <v>0.349726775956284</v>
      </c>
      <c r="H15" s="19" t="n">
        <f aca="false">IF(OR(D15="",E15=""),"",IF(D15=0,"",E15/D15))</f>
        <v>0.516129032258065</v>
      </c>
      <c r="I15" s="20" t="n">
        <f aca="false">IF(C15="","",RANK(C15,$C$5:$C$38))</f>
        <v>23</v>
      </c>
      <c r="J15" s="20" t="n">
        <f aca="false">IF(D15="","",RANK(D15,$D$5:$D$38))</f>
        <v>30</v>
      </c>
      <c r="K15" s="20" t="n">
        <f aca="false">IF(E15="","",RANK(E15,$E$5:$E$38))</f>
        <v>29</v>
      </c>
      <c r="L15" s="20" t="n">
        <f aca="false">IF(F15="","",RANK(F15,$F$5:$F$38))</f>
        <v>26</v>
      </c>
      <c r="M15" s="20" t="n">
        <f aca="false">IF(C15="","",RANK(C15,$C$5:$C$38)+COUNTIF($C$4:C14,C15))</f>
        <v>23</v>
      </c>
      <c r="N15" s="20" t="n">
        <f aca="false">IF(D15="","",RANK(D15,$D$5:$D$38)+COUNTIF($D$4:D14,D15))</f>
        <v>31</v>
      </c>
      <c r="O15" s="20" t="n">
        <f aca="false">IF(E15="","",RANK(E15,$E$5:$E$38)+COUNTIF($E$4:E14,E15))</f>
        <v>29</v>
      </c>
      <c r="P15" s="20" t="n">
        <f aca="false">IF(F15="","",RANK(F15,$F$5:$F$38)+COUNTIF($F$4:F14,F15))</f>
        <v>26</v>
      </c>
    </row>
    <row r="16" customFormat="false" ht="15" hidden="false" customHeight="false" outlineLevel="0" collapsed="false">
      <c r="A16" s="3" t="str">
        <f aca="false">통합데이터!A18</f>
        <v>온라인·디지털</v>
      </c>
      <c r="B16" s="3" t="str">
        <f aca="false">통합데이터!B18</f>
        <v>동영상 광고 (동영상 재생 전후 등)</v>
      </c>
      <c r="C16" s="16" t="n">
        <f aca="false">IF(통합데이터!C18="","",통합데이터!C18)</f>
        <v>16.6</v>
      </c>
      <c r="D16" s="16" t="n">
        <f aca="false">IF(통합데이터!F18="","",통합데이터!F18)</f>
        <v>17</v>
      </c>
      <c r="E16" s="16" t="n">
        <f aca="false">IF(통합데이터!I18="","",통합데이터!I18)</f>
        <v>10.2</v>
      </c>
      <c r="F16" s="16" t="n">
        <f aca="false">IF(COUNT(C16:E16)=3,AVERAGE(C16:E16),"")</f>
        <v>14.6</v>
      </c>
      <c r="G16" s="19" t="n">
        <f aca="false">IF(OR(C16="",E16=""),"",IF(C16=0,"",E16/C16))</f>
        <v>0.614457831325301</v>
      </c>
      <c r="H16" s="19" t="n">
        <f aca="false">IF(OR(D16="",E16=""),"",IF(D16=0,"",E16/D16))</f>
        <v>0.6</v>
      </c>
      <c r="I16" s="20" t="n">
        <f aca="false">IF(C16="","",RANK(C16,$C$5:$C$38))</f>
        <v>25</v>
      </c>
      <c r="J16" s="20" t="n">
        <f aca="false">IF(D16="","",RANK(D16,$D$5:$D$38))</f>
        <v>20</v>
      </c>
      <c r="K16" s="20" t="n">
        <f aca="false">IF(E16="","",RANK(E16,$E$5:$E$38))</f>
        <v>19</v>
      </c>
      <c r="L16" s="20" t="n">
        <f aca="false">IF(F16="","",RANK(F16,$F$5:$F$38))</f>
        <v>23</v>
      </c>
      <c r="M16" s="20" t="n">
        <f aca="false">IF(C16="","",RANK(C16,$C$5:$C$38)+COUNTIF($C$4:C15,C16))</f>
        <v>25</v>
      </c>
      <c r="N16" s="20" t="n">
        <f aca="false">IF(D16="","",RANK(D16,$D$5:$D$38)+COUNTIF($D$4:D15,D16))</f>
        <v>20</v>
      </c>
      <c r="O16" s="20" t="n">
        <f aca="false">IF(E16="","",RANK(E16,$E$5:$E$38)+COUNTIF($E$4:E15,E16))</f>
        <v>19</v>
      </c>
      <c r="P16" s="20" t="n">
        <f aca="false">IF(F16="","",RANK(F16,$F$5:$F$38)+COUNTIF($F$4:F15,F16))</f>
        <v>24</v>
      </c>
    </row>
    <row r="17" customFormat="false" ht="15" hidden="false" customHeight="false" outlineLevel="0" collapsed="false">
      <c r="A17" s="3" t="str">
        <f aca="false">통합데이터!A19</f>
        <v>온라인·디지털</v>
      </c>
      <c r="B17" s="3" t="str">
        <f aca="false">통합데이터!B19</f>
        <v>검색어/키워드 광고</v>
      </c>
      <c r="C17" s="16" t="n">
        <f aca="false">IF(통합데이터!C19="","",통합데이터!C19)</f>
        <v>19.3</v>
      </c>
      <c r="D17" s="16" t="n">
        <f aca="false">IF(통합데이터!F19="","",통합데이터!F19)</f>
        <v>14.7</v>
      </c>
      <c r="E17" s="16" t="n">
        <f aca="false">IF(통합데이터!I19="","",통합데이터!I19)</f>
        <v>10.2</v>
      </c>
      <c r="F17" s="16" t="n">
        <f aca="false">IF(COUNT(C17:E17)=3,AVERAGE(C17:E17),"")</f>
        <v>14.7333333333333</v>
      </c>
      <c r="G17" s="19" t="n">
        <f aca="false">IF(OR(C17="",E17=""),"",IF(C17=0,"",E17/C17))</f>
        <v>0.528497409326425</v>
      </c>
      <c r="H17" s="19" t="n">
        <f aca="false">IF(OR(D17="",E17=""),"",IF(D17=0,"",E17/D17))</f>
        <v>0.693877551020408</v>
      </c>
      <c r="I17" s="20" t="n">
        <f aca="false">IF(C17="","",RANK(C17,$C$5:$C$38))</f>
        <v>22</v>
      </c>
      <c r="J17" s="20" t="n">
        <f aca="false">IF(D17="","",RANK(D17,$D$5:$D$38))</f>
        <v>22</v>
      </c>
      <c r="K17" s="20" t="n">
        <f aca="false">IF(E17="","",RANK(E17,$E$5:$E$38))</f>
        <v>19</v>
      </c>
      <c r="L17" s="20" t="n">
        <f aca="false">IF(F17="","",RANK(F17,$F$5:$F$38))</f>
        <v>22</v>
      </c>
      <c r="M17" s="20" t="n">
        <f aca="false">IF(C17="","",RANK(C17,$C$5:$C$38)+COUNTIF($C$4:C16,C17))</f>
        <v>22</v>
      </c>
      <c r="N17" s="20" t="n">
        <f aca="false">IF(D17="","",RANK(D17,$D$5:$D$38)+COUNTIF($D$4:D16,D17))</f>
        <v>22</v>
      </c>
      <c r="O17" s="20" t="n">
        <f aca="false">IF(E17="","",RANK(E17,$E$5:$E$38)+COUNTIF($E$4:E16,E17))</f>
        <v>20</v>
      </c>
      <c r="P17" s="20" t="n">
        <f aca="false">IF(F17="","",RANK(F17,$F$5:$F$38)+COUNTIF($F$4:F16,F17))</f>
        <v>22</v>
      </c>
    </row>
    <row r="18" customFormat="false" ht="15" hidden="false" customHeight="false" outlineLevel="0" collapsed="false">
      <c r="A18" s="3" t="str">
        <f aca="false">통합데이터!A20</f>
        <v>온라인·디지털</v>
      </c>
      <c r="B18" s="3" t="str">
        <f aca="false">통합데이터!B20</f>
        <v>인터넷 기사</v>
      </c>
      <c r="C18" s="16" t="n">
        <f aca="false">IF(통합데이터!C20="","",통합데이터!C20)</f>
        <v>21.3</v>
      </c>
      <c r="D18" s="16" t="n">
        <f aca="false">IF(통합데이터!F20="","",통합데이터!F20)</f>
        <v>21.1</v>
      </c>
      <c r="E18" s="16" t="n">
        <f aca="false">IF(통합데이터!I20="","",통합데이터!I20)</f>
        <v>17.9</v>
      </c>
      <c r="F18" s="16" t="n">
        <f aca="false">IF(COUNT(C18:E18)=3,AVERAGE(C18:E18),"")</f>
        <v>20.1</v>
      </c>
      <c r="G18" s="19" t="n">
        <f aca="false">IF(OR(C18="",E18=""),"",IF(C18=0,"",E18/C18))</f>
        <v>0.84037558685446</v>
      </c>
      <c r="H18" s="19" t="n">
        <f aca="false">IF(OR(D18="",E18=""),"",IF(D18=0,"",E18/D18))</f>
        <v>0.848341232227488</v>
      </c>
      <c r="I18" s="20" t="n">
        <f aca="false">IF(C18="","",RANK(C18,$C$5:$C$38))</f>
        <v>20</v>
      </c>
      <c r="J18" s="20" t="n">
        <f aca="false">IF(D18="","",RANK(D18,$D$5:$D$38))</f>
        <v>16</v>
      </c>
      <c r="K18" s="20" t="n">
        <f aca="false">IF(E18="","",RANK(E18,$E$5:$E$38))</f>
        <v>12</v>
      </c>
      <c r="L18" s="20" t="n">
        <f aca="false">IF(F18="","",RANK(F18,$F$5:$F$38))</f>
        <v>16</v>
      </c>
      <c r="M18" s="20" t="n">
        <f aca="false">IF(C18="","",RANK(C18,$C$5:$C$38)+COUNTIF($C$4:C17,C18))</f>
        <v>20</v>
      </c>
      <c r="N18" s="20" t="n">
        <f aca="false">IF(D18="","",RANK(D18,$D$5:$D$38)+COUNTIF($D$4:D17,D18))</f>
        <v>16</v>
      </c>
      <c r="O18" s="20" t="n">
        <f aca="false">IF(E18="","",RANK(E18,$E$5:$E$38)+COUNTIF($E$4:E17,E18))</f>
        <v>12</v>
      </c>
      <c r="P18" s="20" t="n">
        <f aca="false">IF(F18="","",RANK(F18,$F$5:$F$38)+COUNTIF($F$4:F17,F18))</f>
        <v>16</v>
      </c>
    </row>
    <row r="19" customFormat="false" ht="15" hidden="false" customHeight="false" outlineLevel="0" collapsed="false">
      <c r="A19" s="3" t="str">
        <f aca="false">통합데이터!A21</f>
        <v>온라인·디지털</v>
      </c>
      <c r="B19" s="3" t="str">
        <f aca="false">통합데이터!B21</f>
        <v>SNS(페이스북, 인스타그램, 트위터 등) 광고/홍보</v>
      </c>
      <c r="C19" s="16" t="n">
        <f aca="false">IF(통합데이터!C21="","",통합데이터!C21)</f>
        <v>34.7</v>
      </c>
      <c r="D19" s="16" t="n">
        <f aca="false">IF(통합데이터!F21="","",통합데이터!F21)</f>
        <v>19.8</v>
      </c>
      <c r="E19" s="16" t="n">
        <f aca="false">IF(통합데이터!I21="","",통합데이터!I21)</f>
        <v>15.5</v>
      </c>
      <c r="F19" s="16" t="n">
        <f aca="false">IF(COUNT(C19:E19)=3,AVERAGE(C19:E19),"")</f>
        <v>23.3333333333333</v>
      </c>
      <c r="G19" s="19" t="n">
        <f aca="false">IF(OR(C19="",E19=""),"",IF(C19=0,"",E19/C19))</f>
        <v>0.446685878962536</v>
      </c>
      <c r="H19" s="19" t="n">
        <f aca="false">IF(OR(D19="",E19=""),"",IF(D19=0,"",E19/D19))</f>
        <v>0.782828282828283</v>
      </c>
      <c r="I19" s="20" t="n">
        <f aca="false">IF(C19="","",RANK(C19,$C$5:$C$38))</f>
        <v>9</v>
      </c>
      <c r="J19" s="20" t="n">
        <f aca="false">IF(D19="","",RANK(D19,$D$5:$D$38))</f>
        <v>17</v>
      </c>
      <c r="K19" s="20" t="n">
        <f aca="false">IF(E19="","",RANK(E19,$E$5:$E$38))</f>
        <v>14</v>
      </c>
      <c r="L19" s="20" t="n">
        <f aca="false">IF(F19="","",RANK(F19,$F$5:$F$38))</f>
        <v>12</v>
      </c>
      <c r="M19" s="20" t="n">
        <f aca="false">IF(C19="","",RANK(C19,$C$5:$C$38)+COUNTIF($C$4:C18,C19))</f>
        <v>9</v>
      </c>
      <c r="N19" s="20" t="n">
        <f aca="false">IF(D19="","",RANK(D19,$D$5:$D$38)+COUNTIF($D$4:D18,D19))</f>
        <v>17</v>
      </c>
      <c r="O19" s="20" t="n">
        <f aca="false">IF(E19="","",RANK(E19,$E$5:$E$38)+COUNTIF($E$4:E18,E19))</f>
        <v>14</v>
      </c>
      <c r="P19" s="20" t="n">
        <f aca="false">IF(F19="","",RANK(F19,$F$5:$F$38)+COUNTIF($F$4:F18,F19))</f>
        <v>12</v>
      </c>
    </row>
    <row r="20" customFormat="false" ht="15" hidden="false" customHeight="false" outlineLevel="0" collapsed="false">
      <c r="A20" s="3" t="str">
        <f aca="false">통합데이터!A22</f>
        <v>온라인·디지털</v>
      </c>
      <c r="B20" s="3" t="str">
        <f aca="false">통합데이터!B22</f>
        <v>SNS, 블로그 사용자 후기 및 전문가 리뷰</v>
      </c>
      <c r="C20" s="16" t="n">
        <f aca="false">IF(통합데이터!C22="","",통합데이터!C22)</f>
        <v>25.4</v>
      </c>
      <c r="D20" s="16" t="n">
        <f aca="false">IF(통합데이터!F22="","",통합데이터!F22)</f>
        <v>22</v>
      </c>
      <c r="E20" s="16" t="n">
        <f aca="false">IF(통합데이터!I22="","",통합데이터!I22)</f>
        <v>23.4</v>
      </c>
      <c r="F20" s="16" t="n">
        <f aca="false">IF(COUNT(C20:E20)=3,AVERAGE(C20:E20),"")</f>
        <v>23.6</v>
      </c>
      <c r="G20" s="19" t="n">
        <f aca="false">IF(OR(C20="",E20=""),"",IF(C20=0,"",E20/C20))</f>
        <v>0.921259842519685</v>
      </c>
      <c r="H20" s="19" t="n">
        <f aca="false">IF(OR(D20="",E20=""),"",IF(D20=0,"",E20/D20))</f>
        <v>1.06363636363636</v>
      </c>
      <c r="I20" s="20" t="n">
        <f aca="false">IF(C20="","",RANK(C20,$C$5:$C$38))</f>
        <v>18</v>
      </c>
      <c r="J20" s="20" t="n">
        <f aca="false">IF(D20="","",RANK(D20,$D$5:$D$38))</f>
        <v>14</v>
      </c>
      <c r="K20" s="20" t="n">
        <f aca="false">IF(E20="","",RANK(E20,$E$5:$E$38))</f>
        <v>7</v>
      </c>
      <c r="L20" s="20" t="n">
        <f aca="false">IF(F20="","",RANK(F20,$F$5:$F$38))</f>
        <v>11</v>
      </c>
      <c r="M20" s="20" t="n">
        <f aca="false">IF(C20="","",RANK(C20,$C$5:$C$38)+COUNTIF($C$4:C19,C20))</f>
        <v>18</v>
      </c>
      <c r="N20" s="20" t="n">
        <f aca="false">IF(D20="","",RANK(D20,$D$5:$D$38)+COUNTIF($D$4:D19,D20))</f>
        <v>14</v>
      </c>
      <c r="O20" s="20" t="n">
        <f aca="false">IF(E20="","",RANK(E20,$E$5:$E$38)+COUNTIF($E$4:E19,E20))</f>
        <v>7</v>
      </c>
      <c r="P20" s="20" t="n">
        <f aca="false">IF(F20="","",RANK(F20,$F$5:$F$38)+COUNTIF($F$4:F19,F20))</f>
        <v>11</v>
      </c>
    </row>
    <row r="21" customFormat="false" ht="15" hidden="false" customHeight="false" outlineLevel="0" collapsed="false">
      <c r="A21" s="3" t="str">
        <f aca="false">통합데이터!A23</f>
        <v>온라인·디지털</v>
      </c>
      <c r="B21" s="3" t="str">
        <f aca="false">통합데이터!B23</f>
        <v>포털 카페 및 커뮤니티(네이버, 다음 등)</v>
      </c>
      <c r="C21" s="16" t="n">
        <f aca="false">IF(통합데이터!C23="","",통합데이터!C23)</f>
        <v>28.6</v>
      </c>
      <c r="D21" s="16" t="n">
        <f aca="false">IF(통합데이터!F23="","",통합데이터!F23)</f>
        <v>23.8</v>
      </c>
      <c r="E21" s="16" t="n">
        <f aca="false">IF(통합데이터!I23="","",통합데이터!I23)</f>
        <v>22.9</v>
      </c>
      <c r="F21" s="16" t="n">
        <f aca="false">IF(COUNT(C21:E21)=3,AVERAGE(C21:E21),"")</f>
        <v>25.1</v>
      </c>
      <c r="G21" s="19" t="n">
        <f aca="false">IF(OR(C21="",E21=""),"",IF(C21=0,"",E21/C21))</f>
        <v>0.800699300699301</v>
      </c>
      <c r="H21" s="19" t="n">
        <f aca="false">IF(OR(D21="",E21=""),"",IF(D21=0,"",E21/D21))</f>
        <v>0.96218487394958</v>
      </c>
      <c r="I21" s="20" t="n">
        <f aca="false">IF(C21="","",RANK(C21,$C$5:$C$38))</f>
        <v>15</v>
      </c>
      <c r="J21" s="20" t="n">
        <f aca="false">IF(D21="","",RANK(D21,$D$5:$D$38))</f>
        <v>11</v>
      </c>
      <c r="K21" s="20" t="n">
        <f aca="false">IF(E21="","",RANK(E21,$E$5:$E$38))</f>
        <v>8</v>
      </c>
      <c r="L21" s="20" t="n">
        <f aca="false">IF(F21="","",RANK(F21,$F$5:$F$38))</f>
        <v>9</v>
      </c>
      <c r="M21" s="20" t="n">
        <f aca="false">IF(C21="","",RANK(C21,$C$5:$C$38)+COUNTIF($C$4:C20,C21))</f>
        <v>15</v>
      </c>
      <c r="N21" s="20" t="n">
        <f aca="false">IF(D21="","",RANK(D21,$D$5:$D$38)+COUNTIF($D$4:D20,D21))</f>
        <v>11</v>
      </c>
      <c r="O21" s="20" t="n">
        <f aca="false">IF(E21="","",RANK(E21,$E$5:$E$38)+COUNTIF($E$4:E20,E21))</f>
        <v>8</v>
      </c>
      <c r="P21" s="20" t="n">
        <f aca="false">IF(F21="","",RANK(F21,$F$5:$F$38)+COUNTIF($F$4:F20,F21))</f>
        <v>9</v>
      </c>
    </row>
    <row r="22" customFormat="false" ht="15" hidden="false" customHeight="false" outlineLevel="0" collapsed="false">
      <c r="A22" s="3" t="str">
        <f aca="false">통합데이터!A24</f>
        <v>온라인·디지털</v>
      </c>
      <c r="B22" s="3" t="str">
        <f aca="false">통합데이터!B24</f>
        <v>가격비교사이트 및 제품 관련 전문사이트</v>
      </c>
      <c r="C22" s="16" t="n">
        <f aca="false">IF(통합데이터!C24="","",통합데이터!C24)</f>
        <v>33.4</v>
      </c>
      <c r="D22" s="16" t="n">
        <f aca="false">IF(통합데이터!F24="","",통합데이터!F24)</f>
        <v>18.5</v>
      </c>
      <c r="E22" s="16" t="n">
        <f aca="false">IF(통합데이터!I24="","",통합데이터!I24)</f>
        <v>19.4</v>
      </c>
      <c r="F22" s="16" t="n">
        <f aca="false">IF(COUNT(C22:E22)=3,AVERAGE(C22:E22),"")</f>
        <v>23.7666666666667</v>
      </c>
      <c r="G22" s="19" t="n">
        <f aca="false">IF(OR(C22="",E22=""),"",IF(C22=0,"",E22/C22))</f>
        <v>0.580838323353293</v>
      </c>
      <c r="H22" s="19" t="n">
        <f aca="false">IF(OR(D22="",E22=""),"",IF(D22=0,"",E22/D22))</f>
        <v>1.04864864864865</v>
      </c>
      <c r="I22" s="20" t="n">
        <f aca="false">IF(C22="","",RANK(C22,$C$5:$C$38))</f>
        <v>11</v>
      </c>
      <c r="J22" s="20" t="n">
        <f aca="false">IF(D22="","",RANK(D22,$D$5:$D$38))</f>
        <v>19</v>
      </c>
      <c r="K22" s="20" t="n">
        <f aca="false">IF(E22="","",RANK(E22,$E$5:$E$38))</f>
        <v>10</v>
      </c>
      <c r="L22" s="20" t="n">
        <f aca="false">IF(F22="","",RANK(F22,$F$5:$F$38))</f>
        <v>10</v>
      </c>
      <c r="M22" s="20" t="n">
        <f aca="false">IF(C22="","",RANK(C22,$C$5:$C$38)+COUNTIF($C$4:C21,C22))</f>
        <v>11</v>
      </c>
      <c r="N22" s="20" t="n">
        <f aca="false">IF(D22="","",RANK(D22,$D$5:$D$38)+COUNTIF($D$4:D21,D22))</f>
        <v>19</v>
      </c>
      <c r="O22" s="20" t="n">
        <f aca="false">IF(E22="","",RANK(E22,$E$5:$E$38)+COUNTIF($E$4:E21,E22))</f>
        <v>10</v>
      </c>
      <c r="P22" s="20" t="n">
        <f aca="false">IF(F22="","",RANK(F22,$F$5:$F$38)+COUNTIF($F$4:F21,F22))</f>
        <v>10</v>
      </c>
    </row>
    <row r="23" customFormat="false" ht="15" hidden="false" customHeight="false" outlineLevel="0" collapsed="false">
      <c r="A23" s="3" t="str">
        <f aca="false">통합데이터!A25</f>
        <v>온라인·디지털</v>
      </c>
      <c r="B23" s="3" t="str">
        <f aca="false">통합데이터!B25</f>
        <v>해당 제품/매장 웹사이트</v>
      </c>
      <c r="C23" s="16" t="n">
        <f aca="false">IF(통합데이터!C25="","",통합데이터!C25)</f>
        <v>25.7</v>
      </c>
      <c r="D23" s="16" t="n">
        <f aca="false">IF(통합데이터!F25="","",통합데이터!F25)</f>
        <v>14.7</v>
      </c>
      <c r="E23" s="16" t="n">
        <f aca="false">IF(통합데이터!I25="","",통합데이터!I25)</f>
        <v>10.5</v>
      </c>
      <c r="F23" s="16" t="n">
        <f aca="false">IF(COUNT(C23:E23)=3,AVERAGE(C23:E23),"")</f>
        <v>16.9666666666667</v>
      </c>
      <c r="G23" s="19" t="n">
        <f aca="false">IF(OR(C23="",E23=""),"",IF(C23=0,"",E23/C23))</f>
        <v>0.408560311284047</v>
      </c>
      <c r="H23" s="19" t="n">
        <f aca="false">IF(OR(D23="",E23=""),"",IF(D23=0,"",E23/D23))</f>
        <v>0.714285714285714</v>
      </c>
      <c r="I23" s="20" t="n">
        <f aca="false">IF(C23="","",RANK(C23,$C$5:$C$38))</f>
        <v>17</v>
      </c>
      <c r="J23" s="20" t="n">
        <f aca="false">IF(D23="","",RANK(D23,$D$5:$D$38))</f>
        <v>22</v>
      </c>
      <c r="K23" s="20" t="n">
        <f aca="false">IF(E23="","",RANK(E23,$E$5:$E$38))</f>
        <v>17</v>
      </c>
      <c r="L23" s="20" t="n">
        <f aca="false">IF(F23="","",RANK(F23,$F$5:$F$38))</f>
        <v>20</v>
      </c>
      <c r="M23" s="20" t="n">
        <f aca="false">IF(C23="","",RANK(C23,$C$5:$C$38)+COUNTIF($C$4:C22,C23))</f>
        <v>17</v>
      </c>
      <c r="N23" s="20" t="n">
        <f aca="false">IF(D23="","",RANK(D23,$D$5:$D$38)+COUNTIF($D$4:D22,D23))</f>
        <v>23</v>
      </c>
      <c r="O23" s="20" t="n">
        <f aca="false">IF(E23="","",RANK(E23,$E$5:$E$38)+COUNTIF($E$4:E22,E23))</f>
        <v>17</v>
      </c>
      <c r="P23" s="20" t="n">
        <f aca="false">IF(F23="","",RANK(F23,$F$5:$F$38)+COUNTIF($F$4:F22,F23))</f>
        <v>20</v>
      </c>
    </row>
    <row r="24" customFormat="false" ht="15" hidden="false" customHeight="false" outlineLevel="0" collapsed="false">
      <c r="A24" s="3" t="str">
        <f aca="false">통합데이터!A26</f>
        <v>온라인·디지털</v>
      </c>
      <c r="B24" s="3" t="str">
        <f aca="false">통합데이터!B26</f>
        <v>이메일 광고/뉴스레터 등</v>
      </c>
      <c r="C24" s="16" t="n">
        <f aca="false">IF(통합데이터!C26="","",통합데이터!C26)</f>
        <v>20.4</v>
      </c>
      <c r="D24" s="16" t="n">
        <f aca="false">IF(통합데이터!F26="","",통합데이터!F26)</f>
        <v>9.7</v>
      </c>
      <c r="E24" s="16" t="n">
        <f aca="false">IF(통합데이터!I26="","",통합데이터!I26)</f>
        <v>5</v>
      </c>
      <c r="F24" s="16" t="n">
        <f aca="false">IF(COUNT(C24:E24)=3,AVERAGE(C24:E24),"")</f>
        <v>11.7</v>
      </c>
      <c r="G24" s="19" t="n">
        <f aca="false">IF(OR(C24="",E24=""),"",IF(C24=0,"",E24/C24))</f>
        <v>0.245098039215686</v>
      </c>
      <c r="H24" s="19" t="n">
        <f aca="false">IF(OR(D24="",E24=""),"",IF(D24=0,"",E24/D24))</f>
        <v>0.515463917525773</v>
      </c>
      <c r="I24" s="20" t="n">
        <f aca="false">IF(C24="","",RANK(C24,$C$5:$C$38))</f>
        <v>21</v>
      </c>
      <c r="J24" s="20" t="n">
        <f aca="false">IF(D24="","",RANK(D24,$D$5:$D$38))</f>
        <v>33</v>
      </c>
      <c r="K24" s="20" t="n">
        <f aca="false">IF(E24="","",RANK(E24,$E$5:$E$38))</f>
        <v>33</v>
      </c>
      <c r="L24" s="20" t="n">
        <f aca="false">IF(F24="","",RANK(F24,$F$5:$F$38))</f>
        <v>30</v>
      </c>
      <c r="M24" s="20" t="n">
        <f aca="false">IF(C24="","",RANK(C24,$C$5:$C$38)+COUNTIF($C$4:C23,C24))</f>
        <v>21</v>
      </c>
      <c r="N24" s="20" t="n">
        <f aca="false">IF(D24="","",RANK(D24,$D$5:$D$38)+COUNTIF($D$4:D23,D24))</f>
        <v>33</v>
      </c>
      <c r="O24" s="20" t="n">
        <f aca="false">IF(E24="","",RANK(E24,$E$5:$E$38)+COUNTIF($E$4:E23,E24))</f>
        <v>33</v>
      </c>
      <c r="P24" s="20" t="n">
        <f aca="false">IF(F24="","",RANK(F24,$F$5:$F$38)+COUNTIF($F$4:F23,F24))</f>
        <v>30</v>
      </c>
    </row>
    <row r="25" customFormat="false" ht="15" hidden="false" customHeight="false" outlineLevel="0" collapsed="false">
      <c r="A25" s="3" t="str">
        <f aca="false">통합데이터!A27</f>
        <v>옥외·공간</v>
      </c>
      <c r="B25" s="3" t="str">
        <f aca="false">통합데이터!B27</f>
        <v>건물 외벽/옥상, 역사 및 정류장 광고</v>
      </c>
      <c r="C25" s="16" t="n">
        <f aca="false">IF(통합데이터!C27="","",통합데이터!C27)</f>
        <v>14.4</v>
      </c>
      <c r="D25" s="16" t="n">
        <f aca="false">IF(통합데이터!F27="","",통합데이터!F27)</f>
        <v>25.8</v>
      </c>
      <c r="E25" s="16" t="n">
        <f aca="false">IF(통합데이터!I27="","",통합데이터!I27)</f>
        <v>11.7</v>
      </c>
      <c r="F25" s="16" t="n">
        <f aca="false">IF(COUNT(C25:E25)=3,AVERAGE(C25:E25),"")</f>
        <v>17.3</v>
      </c>
      <c r="G25" s="19" t="n">
        <f aca="false">IF(OR(C25="",E25=""),"",IF(C25=0,"",E25/C25))</f>
        <v>0.8125</v>
      </c>
      <c r="H25" s="19" t="n">
        <f aca="false">IF(OR(D25="",E25=""),"",IF(D25=0,"",E25/D25))</f>
        <v>0.453488372093023</v>
      </c>
      <c r="I25" s="20" t="n">
        <f aca="false">IF(C25="","",RANK(C25,$C$5:$C$38))</f>
        <v>31</v>
      </c>
      <c r="J25" s="20" t="n">
        <f aca="false">IF(D25="","",RANK(D25,$D$5:$D$38))</f>
        <v>9</v>
      </c>
      <c r="K25" s="20" t="n">
        <f aca="false">IF(E25="","",RANK(E25,$E$5:$E$38))</f>
        <v>16</v>
      </c>
      <c r="L25" s="20" t="n">
        <f aca="false">IF(F25="","",RANK(F25,$F$5:$F$38))</f>
        <v>19</v>
      </c>
      <c r="M25" s="20" t="n">
        <f aca="false">IF(C25="","",RANK(C25,$C$5:$C$38)+COUNTIF($C$4:C24,C25))</f>
        <v>31</v>
      </c>
      <c r="N25" s="20" t="n">
        <f aca="false">IF(D25="","",RANK(D25,$D$5:$D$38)+COUNTIF($D$4:D24,D25))</f>
        <v>9</v>
      </c>
      <c r="O25" s="20" t="n">
        <f aca="false">IF(E25="","",RANK(E25,$E$5:$E$38)+COUNTIF($E$4:E24,E25))</f>
        <v>16</v>
      </c>
      <c r="P25" s="20" t="n">
        <f aca="false">IF(F25="","",RANK(F25,$F$5:$F$38)+COUNTIF($F$4:F24,F25))</f>
        <v>19</v>
      </c>
    </row>
    <row r="26" customFormat="false" ht="15" hidden="false" customHeight="false" outlineLevel="0" collapsed="false">
      <c r="A26" s="3" t="str">
        <f aca="false">통합데이터!A28</f>
        <v>옥외·공간</v>
      </c>
      <c r="B26" s="3" t="str">
        <f aca="false">통합데이터!B28</f>
        <v>버스, 택시, 지하철 광고</v>
      </c>
      <c r="C26" s="16" t="n">
        <f aca="false">IF(통합데이터!C28="","",통합데이터!C28)</f>
        <v>35.1</v>
      </c>
      <c r="D26" s="16" t="n">
        <f aca="false">IF(통합데이터!F28="","",통합데이터!F28)</f>
        <v>21.4</v>
      </c>
      <c r="E26" s="16" t="n">
        <f aca="false">IF(통합데이터!I28="","",통합데이터!I28)</f>
        <v>10.1</v>
      </c>
      <c r="F26" s="16" t="n">
        <f aca="false">IF(COUNT(C26:E26)=3,AVERAGE(C26:E26),"")</f>
        <v>22.2</v>
      </c>
      <c r="G26" s="19" t="n">
        <f aca="false">IF(OR(C26="",E26=""),"",IF(C26=0,"",E26/C26))</f>
        <v>0.287749287749288</v>
      </c>
      <c r="H26" s="19" t="n">
        <f aca="false">IF(OR(D26="",E26=""),"",IF(D26=0,"",E26/D26))</f>
        <v>0.47196261682243</v>
      </c>
      <c r="I26" s="20" t="n">
        <f aca="false">IF(C26="","",RANK(C26,$C$5:$C$38))</f>
        <v>8</v>
      </c>
      <c r="J26" s="20" t="n">
        <f aca="false">IF(D26="","",RANK(D26,$D$5:$D$38))</f>
        <v>15</v>
      </c>
      <c r="K26" s="20" t="n">
        <f aca="false">IF(E26="","",RANK(E26,$E$5:$E$38))</f>
        <v>21</v>
      </c>
      <c r="L26" s="20" t="n">
        <f aca="false">IF(F26="","",RANK(F26,$F$5:$F$38))</f>
        <v>13</v>
      </c>
      <c r="M26" s="20" t="n">
        <f aca="false">IF(C26="","",RANK(C26,$C$5:$C$38)+COUNTIF($C$4:C25,C26))</f>
        <v>8</v>
      </c>
      <c r="N26" s="20" t="n">
        <f aca="false">IF(D26="","",RANK(D26,$D$5:$D$38)+COUNTIF($D$4:D25,D26))</f>
        <v>15</v>
      </c>
      <c r="O26" s="20" t="n">
        <f aca="false">IF(E26="","",RANK(E26,$E$5:$E$38)+COUNTIF($E$4:E25,E26))</f>
        <v>21</v>
      </c>
      <c r="P26" s="20" t="n">
        <f aca="false">IF(F26="","",RANK(F26,$F$5:$F$38)+COUNTIF($F$4:F25,F26))</f>
        <v>13</v>
      </c>
    </row>
    <row r="27" customFormat="false" ht="15" hidden="false" customHeight="false" outlineLevel="0" collapsed="false">
      <c r="A27" s="3" t="str">
        <f aca="false">통합데이터!A29</f>
        <v>옥외·공간</v>
      </c>
      <c r="B27" s="3" t="str">
        <f aca="false">통합데이터!B29</f>
        <v>영화관, 스포츠 경기장, 공연장 등 광고</v>
      </c>
      <c r="C27" s="16" t="n">
        <f aca="false">IF(통합데이터!C29="","",통합데이터!C29)</f>
        <v>30.3</v>
      </c>
      <c r="D27" s="16" t="n">
        <f aca="false">IF(통합데이터!F29="","",통합데이터!F29)</f>
        <v>22.9</v>
      </c>
      <c r="E27" s="16" t="n">
        <f aca="false">IF(통합데이터!I29="","",통합데이터!I29)</f>
        <v>10.4</v>
      </c>
      <c r="F27" s="16" t="n">
        <f aca="false">IF(COUNT(C27:E27)=3,AVERAGE(C27:E27),"")</f>
        <v>21.2</v>
      </c>
      <c r="G27" s="19" t="n">
        <f aca="false">IF(OR(C27="",E27=""),"",IF(C27=0,"",E27/C27))</f>
        <v>0.343234323432343</v>
      </c>
      <c r="H27" s="19" t="n">
        <f aca="false">IF(OR(D27="",E27=""),"",IF(D27=0,"",E27/D27))</f>
        <v>0.454148471615721</v>
      </c>
      <c r="I27" s="20" t="n">
        <f aca="false">IF(C27="","",RANK(C27,$C$5:$C$38))</f>
        <v>14</v>
      </c>
      <c r="J27" s="20" t="n">
        <f aca="false">IF(D27="","",RANK(D27,$D$5:$D$38))</f>
        <v>13</v>
      </c>
      <c r="K27" s="20" t="n">
        <f aca="false">IF(E27="","",RANK(E27,$E$5:$E$38))</f>
        <v>18</v>
      </c>
      <c r="L27" s="20" t="n">
        <f aca="false">IF(F27="","",RANK(F27,$F$5:$F$38))</f>
        <v>15</v>
      </c>
      <c r="M27" s="20" t="n">
        <f aca="false">IF(C27="","",RANK(C27,$C$5:$C$38)+COUNTIF($C$4:C26,C27))</f>
        <v>14</v>
      </c>
      <c r="N27" s="20" t="n">
        <f aca="false">IF(D27="","",RANK(D27,$D$5:$D$38)+COUNTIF($D$4:D26,D27))</f>
        <v>13</v>
      </c>
      <c r="O27" s="20" t="n">
        <f aca="false">IF(E27="","",RANK(E27,$E$5:$E$38)+COUNTIF($E$4:E26,E27))</f>
        <v>18</v>
      </c>
      <c r="P27" s="20" t="n">
        <f aca="false">IF(F27="","",RANK(F27,$F$5:$F$38)+COUNTIF($F$4:F26,F27))</f>
        <v>15</v>
      </c>
    </row>
    <row r="28" customFormat="false" ht="15" hidden="false" customHeight="false" outlineLevel="0" collapsed="false">
      <c r="A28" s="3" t="str">
        <f aca="false">통합데이터!A30</f>
        <v>매장·판촉</v>
      </c>
      <c r="B28" s="3" t="str">
        <f aca="false">통합데이터!B30</f>
        <v>매장 간판 및 외관 광고물</v>
      </c>
      <c r="C28" s="16" t="n">
        <f aca="false">IF(통합데이터!C30="","",통합데이터!C30)</f>
        <v>26.6</v>
      </c>
      <c r="D28" s="16" t="n">
        <f aca="false">IF(통합데이터!F30="","",통합데이터!F30)</f>
        <v>23.3</v>
      </c>
      <c r="E28" s="16" t="n">
        <f aca="false">IF(통합데이터!I30="","",통합데이터!I30)</f>
        <v>14.8</v>
      </c>
      <c r="F28" s="16" t="n">
        <f aca="false">IF(COUNT(C28:E28)=3,AVERAGE(C28:E28),"")</f>
        <v>21.5666666666667</v>
      </c>
      <c r="G28" s="19" t="n">
        <f aca="false">IF(OR(C28="",E28=""),"",IF(C28=0,"",E28/C28))</f>
        <v>0.556390977443609</v>
      </c>
      <c r="H28" s="19" t="n">
        <f aca="false">IF(OR(D28="",E28=""),"",IF(D28=0,"",E28/D28))</f>
        <v>0.63519313304721</v>
      </c>
      <c r="I28" s="20" t="n">
        <f aca="false">IF(C28="","",RANK(C28,$C$5:$C$38))</f>
        <v>16</v>
      </c>
      <c r="J28" s="20" t="n">
        <f aca="false">IF(D28="","",RANK(D28,$D$5:$D$38))</f>
        <v>12</v>
      </c>
      <c r="K28" s="20" t="n">
        <f aca="false">IF(E28="","",RANK(E28,$E$5:$E$38))</f>
        <v>15</v>
      </c>
      <c r="L28" s="20" t="n">
        <f aca="false">IF(F28="","",RANK(F28,$F$5:$F$38))</f>
        <v>14</v>
      </c>
      <c r="M28" s="20" t="n">
        <f aca="false">IF(C28="","",RANK(C28,$C$5:$C$38)+COUNTIF($C$4:C27,C28))</f>
        <v>16</v>
      </c>
      <c r="N28" s="20" t="n">
        <f aca="false">IF(D28="","",RANK(D28,$D$5:$D$38)+COUNTIF($D$4:D27,D28))</f>
        <v>12</v>
      </c>
      <c r="O28" s="20" t="n">
        <f aca="false">IF(E28="","",RANK(E28,$E$5:$E$38)+COUNTIF($E$4:E27,E28))</f>
        <v>15</v>
      </c>
      <c r="P28" s="20" t="n">
        <f aca="false">IF(F28="","",RANK(F28,$F$5:$F$38)+COUNTIF($F$4:F27,F28))</f>
        <v>14</v>
      </c>
    </row>
    <row r="29" customFormat="false" ht="15" hidden="false" customHeight="false" outlineLevel="0" collapsed="false">
      <c r="A29" s="3" t="str">
        <f aca="false">통합데이터!A31</f>
        <v>매장·판촉</v>
      </c>
      <c r="B29" s="3" t="str">
        <f aca="false">통합데이터!B31</f>
        <v>매장 내 광고(POP)</v>
      </c>
      <c r="C29" s="16" t="n">
        <f aca="false">IF(통합데이터!C31="","",통합데이터!C31)</f>
        <v>35.6</v>
      </c>
      <c r="D29" s="16" t="n">
        <f aca="false">IF(통합데이터!F31="","",통합데이터!F31)</f>
        <v>25.5</v>
      </c>
      <c r="E29" s="16" t="n">
        <f aca="false">IF(통합데이터!I31="","",통합데이터!I31)</f>
        <v>16.7</v>
      </c>
      <c r="F29" s="16" t="n">
        <f aca="false">IF(COUNT(C29:E29)=3,AVERAGE(C29:E29),"")</f>
        <v>25.9333333333333</v>
      </c>
      <c r="G29" s="19" t="n">
        <f aca="false">IF(OR(C29="",E29=""),"",IF(C29=0,"",E29/C29))</f>
        <v>0.469101123595506</v>
      </c>
      <c r="H29" s="19" t="n">
        <f aca="false">IF(OR(D29="",E29=""),"",IF(D29=0,"",E29/D29))</f>
        <v>0.654901960784314</v>
      </c>
      <c r="I29" s="20" t="n">
        <f aca="false">IF(C29="","",RANK(C29,$C$5:$C$38))</f>
        <v>6</v>
      </c>
      <c r="J29" s="20" t="n">
        <f aca="false">IF(D29="","",RANK(D29,$D$5:$D$38))</f>
        <v>10</v>
      </c>
      <c r="K29" s="20" t="n">
        <f aca="false">IF(E29="","",RANK(E29,$E$5:$E$38))</f>
        <v>13</v>
      </c>
      <c r="L29" s="20" t="n">
        <f aca="false">IF(F29="","",RANK(F29,$F$5:$F$38))</f>
        <v>8</v>
      </c>
      <c r="M29" s="20" t="n">
        <f aca="false">IF(C29="","",RANK(C29,$C$5:$C$38)+COUNTIF($C$4:C28,C29))</f>
        <v>6</v>
      </c>
      <c r="N29" s="20" t="n">
        <f aca="false">IF(D29="","",RANK(D29,$D$5:$D$38)+COUNTIF($D$4:D28,D29))</f>
        <v>10</v>
      </c>
      <c r="O29" s="20" t="n">
        <f aca="false">IF(E29="","",RANK(E29,$E$5:$E$38)+COUNTIF($E$4:E28,E29))</f>
        <v>13</v>
      </c>
      <c r="P29" s="20" t="n">
        <f aca="false">IF(F29="","",RANK(F29,$F$5:$F$38)+COUNTIF($F$4:F28,F29))</f>
        <v>8</v>
      </c>
    </row>
    <row r="30" customFormat="false" ht="15" hidden="false" customHeight="false" outlineLevel="0" collapsed="false">
      <c r="A30" s="3" t="str">
        <f aca="false">통합데이터!A32</f>
        <v>매장·판촉</v>
      </c>
      <c r="B30" s="3" t="str">
        <f aca="false">통합데이터!B32</f>
        <v>판매원(점원) 추천</v>
      </c>
      <c r="C30" s="16" t="n">
        <f aca="false">IF(통합데이터!C32="","",통합데이터!C32)</f>
        <v>33</v>
      </c>
      <c r="D30" s="16" t="n">
        <f aca="false">IF(통합데이터!F32="","",통합데이터!F32)</f>
        <v>29.9</v>
      </c>
      <c r="E30" s="16" t="n">
        <f aca="false">IF(통합데이터!I32="","",통합데이터!I32)</f>
        <v>41.5</v>
      </c>
      <c r="F30" s="16" t="n">
        <f aca="false">IF(COUNT(C30:E30)=3,AVERAGE(C30:E30),"")</f>
        <v>34.8</v>
      </c>
      <c r="G30" s="19" t="n">
        <f aca="false">IF(OR(C30="",E30=""),"",IF(C30=0,"",E30/C30))</f>
        <v>1.25757575757576</v>
      </c>
      <c r="H30" s="19" t="n">
        <f aca="false">IF(OR(D30="",E30=""),"",IF(D30=0,"",E30/D30))</f>
        <v>1.38795986622074</v>
      </c>
      <c r="I30" s="20" t="n">
        <f aca="false">IF(C30="","",RANK(C30,$C$5:$C$38))</f>
        <v>12</v>
      </c>
      <c r="J30" s="20" t="n">
        <f aca="false">IF(D30="","",RANK(D30,$D$5:$D$38))</f>
        <v>5</v>
      </c>
      <c r="K30" s="20" t="n">
        <f aca="false">IF(E30="","",RANK(E30,$E$5:$E$38))</f>
        <v>3</v>
      </c>
      <c r="L30" s="20" t="n">
        <f aca="false">IF(F30="","",RANK(F30,$F$5:$F$38))</f>
        <v>4</v>
      </c>
      <c r="M30" s="20" t="n">
        <f aca="false">IF(C30="","",RANK(C30,$C$5:$C$38)+COUNTIF($C$4:C29,C30))</f>
        <v>12</v>
      </c>
      <c r="N30" s="20" t="n">
        <f aca="false">IF(D30="","",RANK(D30,$D$5:$D$38)+COUNTIF($D$4:D29,D30))</f>
        <v>5</v>
      </c>
      <c r="O30" s="20" t="n">
        <f aca="false">IF(E30="","",RANK(E30,$E$5:$E$38)+COUNTIF($E$4:E29,E30))</f>
        <v>3</v>
      </c>
      <c r="P30" s="20" t="n">
        <f aca="false">IF(F30="","",RANK(F30,$F$5:$F$38)+COUNTIF($F$4:F29,F30))</f>
        <v>4</v>
      </c>
    </row>
    <row r="31" customFormat="false" ht="15" hidden="false" customHeight="false" outlineLevel="0" collapsed="false">
      <c r="A31" s="3" t="str">
        <f aca="false">통합데이터!A33</f>
        <v>매장·판촉</v>
      </c>
      <c r="B31" s="3" t="str">
        <f aca="false">통합데이터!B33</f>
        <v>샘플/구매 사은품</v>
      </c>
      <c r="C31" s="16" t="n">
        <f aca="false">IF(통합데이터!C33="","",통합데이터!C33)</f>
        <v>46.5</v>
      </c>
      <c r="D31" s="16" t="n">
        <f aca="false">IF(통합데이터!F33="","",통합데이터!F33)</f>
        <v>27.8</v>
      </c>
      <c r="E31" s="16" t="n">
        <f aca="false">IF(통합데이터!I33="","",통합데이터!I33)</f>
        <v>34</v>
      </c>
      <c r="F31" s="16" t="n">
        <f aca="false">IF(COUNT(C31:E31)=3,AVERAGE(C31:E31),"")</f>
        <v>36.1</v>
      </c>
      <c r="G31" s="19" t="n">
        <f aca="false">IF(OR(C31="",E31=""),"",IF(C31=0,"",E31/C31))</f>
        <v>0.731182795698925</v>
      </c>
      <c r="H31" s="19" t="n">
        <f aca="false">IF(OR(D31="",E31=""),"",IF(D31=0,"",E31/D31))</f>
        <v>1.22302158273381</v>
      </c>
      <c r="I31" s="20" t="n">
        <f aca="false">IF(C31="","",RANK(C31,$C$5:$C$38))</f>
        <v>4</v>
      </c>
      <c r="J31" s="20" t="n">
        <f aca="false">IF(D31="","",RANK(D31,$D$5:$D$38))</f>
        <v>6</v>
      </c>
      <c r="K31" s="20" t="n">
        <f aca="false">IF(E31="","",RANK(E31,$E$5:$E$38))</f>
        <v>5</v>
      </c>
      <c r="L31" s="20" t="n">
        <f aca="false">IF(F31="","",RANK(F31,$F$5:$F$38))</f>
        <v>3</v>
      </c>
      <c r="M31" s="20" t="n">
        <f aca="false">IF(C31="","",RANK(C31,$C$5:$C$38)+COUNTIF($C$4:C30,C31))</f>
        <v>4</v>
      </c>
      <c r="N31" s="20" t="n">
        <f aca="false">IF(D31="","",RANK(D31,$D$5:$D$38)+COUNTIF($D$4:D30,D31))</f>
        <v>6</v>
      </c>
      <c r="O31" s="20" t="n">
        <f aca="false">IF(E31="","",RANK(E31,$E$5:$E$38)+COUNTIF($E$4:E30,E31))</f>
        <v>5</v>
      </c>
      <c r="P31" s="20" t="n">
        <f aca="false">IF(F31="","",RANK(F31,$F$5:$F$38)+COUNTIF($F$4:F30,F31))</f>
        <v>3</v>
      </c>
    </row>
    <row r="32" customFormat="false" ht="15" hidden="false" customHeight="false" outlineLevel="0" collapsed="false">
      <c r="A32" s="3" t="str">
        <f aca="false">통합데이터!A34</f>
        <v>매장·판촉</v>
      </c>
      <c r="B32" s="3" t="str">
        <f aca="false">통합데이터!B34</f>
        <v>쿠폰/프로모션 등 행사 및 이벤트</v>
      </c>
      <c r="C32" s="16" t="n">
        <f aca="false">IF(통합데이터!C34="","",통합데이터!C34)</f>
        <v>36.8</v>
      </c>
      <c r="D32" s="16" t="n">
        <f aca="false">IF(통합데이터!F34="","",통합데이터!F34)</f>
        <v>26.3</v>
      </c>
      <c r="E32" s="16" t="n">
        <f aca="false">IF(통합데이터!I34="","",통합데이터!I34)</f>
        <v>29.3</v>
      </c>
      <c r="F32" s="16" t="n">
        <f aca="false">IF(COUNT(C32:E32)=3,AVERAGE(C32:E32),"")</f>
        <v>30.8</v>
      </c>
      <c r="G32" s="19" t="n">
        <f aca="false">IF(OR(C32="",E32=""),"",IF(C32=0,"",E32/C32))</f>
        <v>0.796195652173913</v>
      </c>
      <c r="H32" s="19" t="n">
        <f aca="false">IF(OR(D32="",E32=""),"",IF(D32=0,"",E32/D32))</f>
        <v>1.11406844106464</v>
      </c>
      <c r="I32" s="20" t="n">
        <f aca="false">IF(C32="","",RANK(C32,$C$5:$C$38))</f>
        <v>5</v>
      </c>
      <c r="J32" s="20" t="n">
        <f aca="false">IF(D32="","",RANK(D32,$D$5:$D$38))</f>
        <v>8</v>
      </c>
      <c r="K32" s="20" t="n">
        <f aca="false">IF(E32="","",RANK(E32,$E$5:$E$38))</f>
        <v>6</v>
      </c>
      <c r="L32" s="20" t="n">
        <f aca="false">IF(F32="","",RANK(F32,$F$5:$F$38))</f>
        <v>6</v>
      </c>
      <c r="M32" s="20" t="n">
        <f aca="false">IF(C32="","",RANK(C32,$C$5:$C$38)+COUNTIF($C$4:C31,C32))</f>
        <v>5</v>
      </c>
      <c r="N32" s="20" t="n">
        <f aca="false">IF(D32="","",RANK(D32,$D$5:$D$38)+COUNTIF($D$4:D31,D32))</f>
        <v>8</v>
      </c>
      <c r="O32" s="20" t="n">
        <f aca="false">IF(E32="","",RANK(E32,$E$5:$E$38)+COUNTIF($E$4:E31,E32))</f>
        <v>6</v>
      </c>
      <c r="P32" s="20" t="n">
        <f aca="false">IF(F32="","",RANK(F32,$F$5:$F$38)+COUNTIF($F$4:F31,F32))</f>
        <v>6</v>
      </c>
    </row>
    <row r="33" customFormat="false" ht="15" hidden="false" customHeight="false" outlineLevel="0" collapsed="false">
      <c r="A33" s="3" t="str">
        <f aca="false">통합데이터!A35</f>
        <v>매장·판촉</v>
      </c>
      <c r="B33" s="3" t="str">
        <f aca="false">통합데이터!B35</f>
        <v>매장 내 진열제품 및 제품정보</v>
      </c>
      <c r="C33" s="16" t="n">
        <f aca="false">IF(통합데이터!C35="","",통합데이터!C35)</f>
        <v>30.8</v>
      </c>
      <c r="D33" s="16" t="n">
        <f aca="false">IF(통합데이터!F35="","",통합데이터!F35)</f>
        <v>35.5</v>
      </c>
      <c r="E33" s="16" t="n">
        <f aca="false">IF(통합데이터!I35="","",통합데이터!I35)</f>
        <v>37.5</v>
      </c>
      <c r="F33" s="16" t="n">
        <f aca="false">IF(COUNT(C33:E33)=3,AVERAGE(C33:E33),"")</f>
        <v>34.6</v>
      </c>
      <c r="G33" s="19" t="n">
        <f aca="false">IF(OR(C33="",E33=""),"",IF(C33=0,"",E33/C33))</f>
        <v>1.21753246753247</v>
      </c>
      <c r="H33" s="19" t="n">
        <f aca="false">IF(OR(D33="",E33=""),"",IF(D33=0,"",E33/D33))</f>
        <v>1.05633802816901</v>
      </c>
      <c r="I33" s="20" t="n">
        <f aca="false">IF(C33="","",RANK(C33,$C$5:$C$38))</f>
        <v>13</v>
      </c>
      <c r="J33" s="20" t="n">
        <f aca="false">IF(D33="","",RANK(D33,$D$5:$D$38))</f>
        <v>3</v>
      </c>
      <c r="K33" s="20" t="n">
        <f aca="false">IF(E33="","",RANK(E33,$E$5:$E$38))</f>
        <v>4</v>
      </c>
      <c r="L33" s="20" t="n">
        <f aca="false">IF(F33="","",RANK(F33,$F$5:$F$38))</f>
        <v>5</v>
      </c>
      <c r="M33" s="20" t="n">
        <f aca="false">IF(C33="","",RANK(C33,$C$5:$C$38)+COUNTIF($C$4:C32,C33))</f>
        <v>13</v>
      </c>
      <c r="N33" s="20" t="n">
        <f aca="false">IF(D33="","",RANK(D33,$D$5:$D$38)+COUNTIF($D$4:D32,D33))</f>
        <v>3</v>
      </c>
      <c r="O33" s="20" t="n">
        <f aca="false">IF(E33="","",RANK(E33,$E$5:$E$38)+COUNTIF($E$4:E32,E33))</f>
        <v>4</v>
      </c>
      <c r="P33" s="20" t="n">
        <f aca="false">IF(F33="","",RANK(F33,$F$5:$F$38)+COUNTIF($F$4:F32,F33))</f>
        <v>5</v>
      </c>
    </row>
    <row r="34" customFormat="false" ht="15" hidden="false" customHeight="false" outlineLevel="0" collapsed="false">
      <c r="A34" s="3" t="str">
        <f aca="false">통합데이터!A36</f>
        <v>구전</v>
      </c>
      <c r="B34" s="3" t="str">
        <f aca="false">통합데이터!B36</f>
        <v>주변사람(친구/가족/동료)의 추천</v>
      </c>
      <c r="C34" s="16" t="n">
        <f aca="false">IF(통합데이터!C36="","",통합데이터!C36)</f>
        <v>47.1</v>
      </c>
      <c r="D34" s="16" t="n">
        <f aca="false">IF(통합데이터!F36="","",통합데이터!F36)</f>
        <v>44.7</v>
      </c>
      <c r="E34" s="16" t="n">
        <f aca="false">IF(통합데이터!I36="","",통합데이터!I36)</f>
        <v>62</v>
      </c>
      <c r="F34" s="16" t="n">
        <f aca="false">IF(COUNT(C34:E34)=3,AVERAGE(C34:E34),"")</f>
        <v>51.2666666666667</v>
      </c>
      <c r="G34" s="19" t="n">
        <f aca="false">IF(OR(C34="",E34=""),"",IF(C34=0,"",E34/C34))</f>
        <v>1.31634819532909</v>
      </c>
      <c r="H34" s="19" t="n">
        <f aca="false">IF(OR(D34="",E34=""),"",IF(D34=0,"",E34/D34))</f>
        <v>1.38702460850112</v>
      </c>
      <c r="I34" s="20" t="n">
        <f aca="false">IF(C34="","",RANK(C34,$C$5:$C$38))</f>
        <v>3</v>
      </c>
      <c r="J34" s="20" t="n">
        <f aca="false">IF(D34="","",RANK(D34,$D$5:$D$38))</f>
        <v>2</v>
      </c>
      <c r="K34" s="20" t="n">
        <f aca="false">IF(E34="","",RANK(E34,$E$5:$E$38))</f>
        <v>1</v>
      </c>
      <c r="L34" s="20" t="n">
        <f aca="false">IF(F34="","",RANK(F34,$F$5:$F$38))</f>
        <v>2</v>
      </c>
      <c r="M34" s="20" t="n">
        <f aca="false">IF(C34="","",RANK(C34,$C$5:$C$38)+COUNTIF($C$4:C33,C34))</f>
        <v>3</v>
      </c>
      <c r="N34" s="20" t="n">
        <f aca="false">IF(D34="","",RANK(D34,$D$5:$D$38)+COUNTIF($D$4:D33,D34))</f>
        <v>2</v>
      </c>
      <c r="O34" s="20" t="n">
        <f aca="false">IF(E34="","",RANK(E34,$E$5:$E$38)+COUNTIF($E$4:E33,E34))</f>
        <v>1</v>
      </c>
      <c r="P34" s="20" t="n">
        <f aca="false">IF(F34="","",RANK(F34,$F$5:$F$38)+COUNTIF($F$4:F33,F34))</f>
        <v>2</v>
      </c>
    </row>
    <row r="35" customFormat="false" ht="15" hidden="false" customHeight="false" outlineLevel="0" collapsed="false">
      <c r="A35" s="3" t="str">
        <f aca="false">통합데이터!A37</f>
        <v>기업활동·후원</v>
      </c>
      <c r="B35" s="3" t="str">
        <f aca="false">통합데이터!B37</f>
        <v>회사의 사회공헌 및 기여활동</v>
      </c>
      <c r="C35" s="16" t="n">
        <f aca="false">IF(통합데이터!C37="","",통합데이터!C37)</f>
        <v>61.8</v>
      </c>
      <c r="D35" s="16" t="n">
        <f aca="false">IF(통합데이터!F37="","",통합데이터!F37)</f>
        <v>16.5</v>
      </c>
      <c r="E35" s="16" t="n">
        <f aca="false">IF(통합데이터!I37="","",통합데이터!I37)</f>
        <v>9.1</v>
      </c>
      <c r="F35" s="16" t="n">
        <f aca="false">IF(COUNT(C35:E35)=3,AVERAGE(C35:E35),"")</f>
        <v>29.1333333333333</v>
      </c>
      <c r="G35" s="19" t="n">
        <f aca="false">IF(OR(C35="",E35=""),"",IF(C35=0,"",E35/C35))</f>
        <v>0.147249190938511</v>
      </c>
      <c r="H35" s="19" t="n">
        <f aca="false">IF(OR(D35="",E35=""),"",IF(D35=0,"",E35/D35))</f>
        <v>0.551515151515152</v>
      </c>
      <c r="I35" s="20" t="n">
        <f aca="false">IF(C35="","",RANK(C35,$C$5:$C$38))</f>
        <v>2</v>
      </c>
      <c r="J35" s="20" t="n">
        <f aca="false">IF(D35="","",RANK(D35,$D$5:$D$38))</f>
        <v>21</v>
      </c>
      <c r="K35" s="20" t="n">
        <f aca="false">IF(E35="","",RANK(E35,$E$5:$E$38))</f>
        <v>22</v>
      </c>
      <c r="L35" s="20" t="n">
        <f aca="false">IF(F35="","",RANK(F35,$F$5:$F$38))</f>
        <v>7</v>
      </c>
      <c r="M35" s="20" t="n">
        <f aca="false">IF(C35="","",RANK(C35,$C$5:$C$38)+COUNTIF($C$4:C34,C35))</f>
        <v>2</v>
      </c>
      <c r="N35" s="20" t="n">
        <f aca="false">IF(D35="","",RANK(D35,$D$5:$D$38)+COUNTIF($D$4:D34,D35))</f>
        <v>21</v>
      </c>
      <c r="O35" s="20" t="n">
        <f aca="false">IF(E35="","",RANK(E35,$E$5:$E$38)+COUNTIF($E$4:E34,E35))</f>
        <v>22</v>
      </c>
      <c r="P35" s="20" t="n">
        <f aca="false">IF(F35="","",RANK(F35,$F$5:$F$38)+COUNTIF($F$4:F34,F35))</f>
        <v>7</v>
      </c>
    </row>
    <row r="36" customFormat="false" ht="15" hidden="false" customHeight="false" outlineLevel="0" collapsed="false">
      <c r="A36" s="3" t="str">
        <f aca="false">통합데이터!A38</f>
        <v>기업활동·후원</v>
      </c>
      <c r="B36" s="3" t="str">
        <f aca="false">통합데이터!B38</f>
        <v>게임 또는 스포츠 팀 후원</v>
      </c>
      <c r="C36" s="16" t="n">
        <f aca="false">IF(통합데이터!C38="","",통합데이터!C38)</f>
        <v>15.2</v>
      </c>
      <c r="D36" s="16" t="n">
        <f aca="false">IF(통합데이터!F38="","",통합데이터!F38)</f>
        <v>12.9</v>
      </c>
      <c r="E36" s="16" t="n">
        <f aca="false">IF(통합데이터!I38="","",통합데이터!I38)</f>
        <v>5.9</v>
      </c>
      <c r="F36" s="16" t="n">
        <f aca="false">IF(COUNT(C36:E36)=3,AVERAGE(C36:E36),"")</f>
        <v>11.3333333333333</v>
      </c>
      <c r="G36" s="19" t="n">
        <f aca="false">IF(OR(C36="",E36=""),"",IF(C36=0,"",E36/C36))</f>
        <v>0.388157894736842</v>
      </c>
      <c r="H36" s="19" t="n">
        <f aca="false">IF(OR(D36="",E36=""),"",IF(D36=0,"",E36/D36))</f>
        <v>0.457364341085271</v>
      </c>
      <c r="I36" s="20" t="n">
        <f aca="false">IF(C36="","",RANK(C36,$C$5:$C$38))</f>
        <v>28</v>
      </c>
      <c r="J36" s="20" t="n">
        <f aca="false">IF(D36="","",RANK(D36,$D$5:$D$38))</f>
        <v>28</v>
      </c>
      <c r="K36" s="20" t="n">
        <f aca="false">IF(E36="","",RANK(E36,$E$5:$E$38))</f>
        <v>31</v>
      </c>
      <c r="L36" s="20" t="n">
        <f aca="false">IF(F36="","",RANK(F36,$F$5:$F$38))</f>
        <v>32</v>
      </c>
      <c r="M36" s="20" t="n">
        <f aca="false">IF(C36="","",RANK(C36,$C$5:$C$38)+COUNTIF($C$4:C35,C36))</f>
        <v>28</v>
      </c>
      <c r="N36" s="20" t="n">
        <f aca="false">IF(D36="","",RANK(D36,$D$5:$D$38)+COUNTIF($D$4:D35,D36))</f>
        <v>29</v>
      </c>
      <c r="O36" s="20" t="n">
        <f aca="false">IF(E36="","",RANK(E36,$E$5:$E$38)+COUNTIF($E$4:E35,E36))</f>
        <v>31</v>
      </c>
      <c r="P36" s="20" t="n">
        <f aca="false">IF(F36="","",RANK(F36,$F$5:$F$38)+COUNTIF($F$4:F35,F36))</f>
        <v>32</v>
      </c>
    </row>
    <row r="37" customFormat="false" ht="15" hidden="false" customHeight="false" outlineLevel="0" collapsed="false">
      <c r="A37" s="3" t="str">
        <f aca="false">통합데이터!A39</f>
        <v>기업활동·후원</v>
      </c>
      <c r="B37" s="3" t="str">
        <f aca="false">통합데이터!B39</f>
        <v>TV프로그램/영화 제작 투자</v>
      </c>
      <c r="C37" s="16" t="n">
        <f aca="false">IF(통합데이터!C39="","",통합데이터!C39)</f>
        <v>13.9</v>
      </c>
      <c r="D37" s="16" t="n">
        <f aca="false">IF(통합데이터!F39="","",통합데이터!F39)</f>
        <v>13.3</v>
      </c>
      <c r="E37" s="16" t="n">
        <f aca="false">IF(통합데이터!I39="","",통합데이터!I39)</f>
        <v>7</v>
      </c>
      <c r="F37" s="16" t="n">
        <f aca="false">IF(COUNT(C37:E37)=3,AVERAGE(C37:E37),"")</f>
        <v>11.4</v>
      </c>
      <c r="G37" s="19" t="n">
        <f aca="false">IF(OR(C37="",E37=""),"",IF(C37=0,"",E37/C37))</f>
        <v>0.503597122302158</v>
      </c>
      <c r="H37" s="19" t="n">
        <f aca="false">IF(OR(D37="",E37=""),"",IF(D37=0,"",E37/D37))</f>
        <v>0.526315789473684</v>
      </c>
      <c r="I37" s="20" t="n">
        <f aca="false">IF(C37="","",RANK(C37,$C$5:$C$38))</f>
        <v>33</v>
      </c>
      <c r="J37" s="20" t="n">
        <f aca="false">IF(D37="","",RANK(D37,$D$5:$D$38))</f>
        <v>27</v>
      </c>
      <c r="K37" s="20" t="n">
        <f aca="false">IF(E37="","",RANK(E37,$E$5:$E$38))</f>
        <v>27</v>
      </c>
      <c r="L37" s="20" t="n">
        <f aca="false">IF(F37="","",RANK(F37,$F$5:$F$38))</f>
        <v>31</v>
      </c>
      <c r="M37" s="20" t="n">
        <f aca="false">IF(C37="","",RANK(C37,$C$5:$C$38)+COUNTIF($C$4:C36,C37))</f>
        <v>33</v>
      </c>
      <c r="N37" s="20" t="n">
        <f aca="false">IF(D37="","",RANK(D37,$D$5:$D$38)+COUNTIF($D$4:D36,D37))</f>
        <v>27</v>
      </c>
      <c r="O37" s="20" t="n">
        <f aca="false">IF(E37="","",RANK(E37,$E$5:$E$38)+COUNTIF($E$4:E36,E37))</f>
        <v>28</v>
      </c>
      <c r="P37" s="20" t="n">
        <f aca="false">IF(F37="","",RANK(F37,$F$5:$F$38)+COUNTIF($F$4:F36,F37))</f>
        <v>31</v>
      </c>
    </row>
    <row r="38" customFormat="false" ht="15" hidden="false" customHeight="false" outlineLevel="0" collapsed="false">
      <c r="A38" s="3" t="str">
        <f aca="false">통합데이터!A40</f>
        <v>기업활동·후원</v>
      </c>
      <c r="B38" s="3" t="str">
        <f aca="false">통합데이터!B40</f>
        <v>신제품발표회/무역박람회/전시회</v>
      </c>
      <c r="C38" s="16" t="n">
        <f aca="false">IF(통합데이터!C40="","",통합데이터!C40)</f>
        <v>14.5</v>
      </c>
      <c r="D38" s="16" t="n">
        <f aca="false">IF(통합데이터!F40="","",통합데이터!F40)</f>
        <v>13.6</v>
      </c>
      <c r="E38" s="16" t="n">
        <f aca="false">IF(통합데이터!I40="","",통합데이터!I40)</f>
        <v>5.7</v>
      </c>
      <c r="F38" s="16" t="n">
        <f aca="false">IF(COUNT(C38:E38)=3,AVERAGE(C38:E38),"")</f>
        <v>11.2666666666667</v>
      </c>
      <c r="G38" s="19" t="n">
        <f aca="false">IF(OR(C38="",E38=""),"",IF(C38=0,"",E38/C38))</f>
        <v>0.393103448275862</v>
      </c>
      <c r="H38" s="19" t="n">
        <f aca="false">IF(OR(D38="",E38=""),"",IF(D38=0,"",E38/D38))</f>
        <v>0.419117647058824</v>
      </c>
      <c r="I38" s="20" t="n">
        <f aca="false">IF(C38="","",RANK(C38,$C$5:$C$38))</f>
        <v>30</v>
      </c>
      <c r="J38" s="20" t="n">
        <f aca="false">IF(D38="","",RANK(D38,$D$5:$D$38))</f>
        <v>25</v>
      </c>
      <c r="K38" s="20" t="n">
        <f aca="false">IF(E38="","",RANK(E38,$E$5:$E$38))</f>
        <v>32</v>
      </c>
      <c r="L38" s="20" t="n">
        <f aca="false">IF(F38="","",RANK(F38,$F$5:$F$38))</f>
        <v>33</v>
      </c>
      <c r="M38" s="20" t="n">
        <f aca="false">IF(C38="","",RANK(C38,$C$5:$C$38)+COUNTIF($C$4:C37,C38))</f>
        <v>30</v>
      </c>
      <c r="N38" s="20" t="n">
        <f aca="false">IF(D38="","",RANK(D38,$D$5:$D$38)+COUNTIF($D$4:D37,D38))</f>
        <v>26</v>
      </c>
      <c r="O38" s="20" t="n">
        <f aca="false">IF(E38="","",RANK(E38,$E$5:$E$38)+COUNTIF($E$4:E37,E38))</f>
        <v>32</v>
      </c>
      <c r="P38" s="20" t="n">
        <f aca="false">IF(F38="","",RANK(F38,$F$5:$F$38)+COUNTIF($F$4:F37,F38))</f>
        <v>33</v>
      </c>
    </row>
    <row r="40" customFormat="false" ht="15" hidden="false" customHeight="false" outlineLevel="0" collapsed="false">
      <c r="A40" s="6" t="s">
        <v>93</v>
      </c>
    </row>
  </sheetData>
  <conditionalFormatting sqref="C5:C38">
    <cfRule type="expression" priority="2" aboveAverage="0" equalAverage="0" bottom="0" percent="0" rank="0" text="" dxfId="0">
      <formula>AND(ISNUMBER(I5),I5&lt;=5)</formula>
    </cfRule>
  </conditionalFormatting>
  <conditionalFormatting sqref="D5:D38">
    <cfRule type="expression" priority="3" aboveAverage="0" equalAverage="0" bottom="0" percent="0" rank="0" text="" dxfId="0">
      <formula>AND(ISNUMBER(J5),J5&lt;=5)</formula>
    </cfRule>
  </conditionalFormatting>
  <conditionalFormatting sqref="E5:E38">
    <cfRule type="expression" priority="4" aboveAverage="0" equalAverage="0" bottom="0" percent="0" rank="0" text="" dxfId="0">
      <formula>AND(ISNUMBER(K5),K5&lt;=5)</formula>
    </cfRule>
  </conditionalFormatting>
  <conditionalFormatting sqref="F5:F38">
    <cfRule type="expression" priority="5" aboveAverage="0" equalAverage="0" bottom="0" percent="0" rank="0" text="" dxfId="0">
      <formula>AND(ISNUMBER(L5),L5&lt;=5)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6" min="3" style="0" width="11"/>
  </cols>
  <sheetData>
    <row r="1" customFormat="false" ht="21.6" hidden="false" customHeight="false" outlineLevel="0" collapsed="false">
      <c r="A1" s="17" t="s">
        <v>94</v>
      </c>
    </row>
    <row r="2" customFormat="false" ht="15" hidden="false" customHeight="false" outlineLevel="0" collapsed="false">
      <c r="A2" s="6" t="s">
        <v>78</v>
      </c>
    </row>
    <row r="4" customFormat="false" ht="31.5" hidden="false" customHeight="true" outlineLevel="0" collapsed="false">
      <c r="A4" s="7" t="s">
        <v>27</v>
      </c>
      <c r="B4" s="7" t="s">
        <v>28</v>
      </c>
      <c r="C4" s="7" t="s">
        <v>79</v>
      </c>
      <c r="D4" s="7" t="s">
        <v>80</v>
      </c>
      <c r="E4" s="7" t="s">
        <v>81</v>
      </c>
      <c r="F4" s="18" t="s">
        <v>82</v>
      </c>
      <c r="G4" s="7" t="s">
        <v>83</v>
      </c>
      <c r="H4" s="7" t="s">
        <v>84</v>
      </c>
      <c r="I4" s="7" t="s">
        <v>85</v>
      </c>
      <c r="J4" s="7" t="s">
        <v>86</v>
      </c>
      <c r="K4" s="7" t="s">
        <v>87</v>
      </c>
      <c r="L4" s="7" t="s">
        <v>88</v>
      </c>
      <c r="M4" s="7" t="s">
        <v>89</v>
      </c>
      <c r="N4" s="7" t="s">
        <v>90</v>
      </c>
      <c r="O4" s="7" t="s">
        <v>91</v>
      </c>
      <c r="P4" s="7" t="s">
        <v>92</v>
      </c>
    </row>
    <row r="5" customFormat="false" ht="15" hidden="false" customHeight="false" outlineLevel="0" collapsed="false">
      <c r="A5" s="3" t="str">
        <f aca="false">통합데이터!A7</f>
        <v>TV·라디오</v>
      </c>
      <c r="B5" s="3" t="str">
        <f aca="false">통합데이터!B7</f>
        <v>TV 광고</v>
      </c>
      <c r="C5" s="16" t="n">
        <f aca="false">IF(통합데이터!D7="","",통합데이터!D7)</f>
        <v>75.8</v>
      </c>
      <c r="D5" s="16" t="n">
        <f aca="false">IF(통합데이터!G7="","",통합데이터!G7)</f>
        <v>60.4</v>
      </c>
      <c r="E5" s="16" t="n">
        <f aca="false">IF(통합데이터!J7="","",통합데이터!J7)</f>
        <v>43.4</v>
      </c>
      <c r="F5" s="16" t="n">
        <f aca="false">IF(COUNT(C5:E5)=3,AVERAGE(C5:E5),"")</f>
        <v>59.8666666666667</v>
      </c>
      <c r="G5" s="19" t="n">
        <f aca="false">IF(OR(C5="",E5=""),"",IF(C5=0,"",E5/C5))</f>
        <v>0.572559366754617</v>
      </c>
      <c r="H5" s="19" t="n">
        <f aca="false">IF(OR(D5="",E5=""),"",IF(D5=0,"",E5/D5))</f>
        <v>0.718543046357616</v>
      </c>
      <c r="I5" s="20" t="n">
        <f aca="false">IF(C5="","",RANK(C5,$C$5:$C$38))</f>
        <v>1</v>
      </c>
      <c r="J5" s="20" t="n">
        <f aca="false">IF(D5="","",RANK(D5,$D$5:$D$38))</f>
        <v>1</v>
      </c>
      <c r="K5" s="20" t="n">
        <f aca="false">IF(E5="","",RANK(E5,$E$5:$E$38))</f>
        <v>2</v>
      </c>
      <c r="L5" s="20" t="n">
        <f aca="false">IF(F5="","",RANK(F5,$F$5:$F$38))</f>
        <v>1</v>
      </c>
      <c r="M5" s="20" t="n">
        <f aca="false">IF(C5="","",RANK(C5,$C$5:$C$38)+COUNTIF($C$4:C4,C5))</f>
        <v>1</v>
      </c>
      <c r="N5" s="20" t="n">
        <f aca="false">IF(D5="","",RANK(D5,$D$5:$D$38)+COUNTIF($D$4:D4,D5))</f>
        <v>1</v>
      </c>
      <c r="O5" s="20" t="n">
        <f aca="false">IF(E5="","",RANK(E5,$E$5:$E$38)+COUNTIF($E$4:E4,E5))</f>
        <v>2</v>
      </c>
      <c r="P5" s="20" t="n">
        <f aca="false">IF(F5="","",RANK(F5,$F$5:$F$38)+COUNTIF($F$4:F4,F5))</f>
        <v>1</v>
      </c>
    </row>
    <row r="6" customFormat="false" ht="15" hidden="false" customHeight="false" outlineLevel="0" collapsed="false">
      <c r="A6" s="3" t="str">
        <f aca="false">통합데이터!A8</f>
        <v>TV·라디오</v>
      </c>
      <c r="B6" s="3" t="str">
        <f aca="false">통합데이터!B8</f>
        <v>드라마 등 TV프로그램 속 간접광고(PPL)</v>
      </c>
      <c r="C6" s="16" t="n">
        <f aca="false">IF(통합데이터!D8="","",통합데이터!D8)</f>
        <v>44.2</v>
      </c>
      <c r="D6" s="16" t="n">
        <f aca="false">IF(통합데이터!G8="","",통합데이터!G8)</f>
        <v>36.3</v>
      </c>
      <c r="E6" s="16" t="n">
        <f aca="false">IF(통합데이터!J8="","",통합데이터!J8)</f>
        <v>20.5</v>
      </c>
      <c r="F6" s="16" t="n">
        <f aca="false">IF(COUNT(C6:E6)=3,AVERAGE(C6:E6),"")</f>
        <v>33.6666666666667</v>
      </c>
      <c r="G6" s="19" t="n">
        <f aca="false">IF(OR(C6="",E6=""),"",IF(C6=0,"",E6/C6))</f>
        <v>0.463800904977376</v>
      </c>
      <c r="H6" s="19" t="n">
        <f aca="false">IF(OR(D6="",E6=""),"",IF(D6=0,"",E6/D6))</f>
        <v>0.564738292011019</v>
      </c>
      <c r="I6" s="20" t="n">
        <f aca="false">IF(C6="","",RANK(C6,$C$5:$C$38))</f>
        <v>3</v>
      </c>
      <c r="J6" s="20" t="n">
        <f aca="false">IF(D6="","",RANK(D6,$D$5:$D$38))</f>
        <v>3</v>
      </c>
      <c r="K6" s="20" t="n">
        <f aca="false">IF(E6="","",RANK(E6,$E$5:$E$38))</f>
        <v>8</v>
      </c>
      <c r="L6" s="20" t="n">
        <f aca="false">IF(F6="","",RANK(F6,$F$5:$F$38))</f>
        <v>5</v>
      </c>
      <c r="M6" s="20" t="n">
        <f aca="false">IF(C6="","",RANK(C6,$C$5:$C$38)+COUNTIF($C$4:C5,C6))</f>
        <v>3</v>
      </c>
      <c r="N6" s="20" t="n">
        <f aca="false">IF(D6="","",RANK(D6,$D$5:$D$38)+COUNTIF($D$4:D5,D6))</f>
        <v>3</v>
      </c>
      <c r="O6" s="20" t="n">
        <f aca="false">IF(E6="","",RANK(E6,$E$5:$E$38)+COUNTIF($E$4:E5,E6))</f>
        <v>8</v>
      </c>
      <c r="P6" s="20" t="n">
        <f aca="false">IF(F6="","",RANK(F6,$F$5:$F$38)+COUNTIF($F$4:F5,F6))</f>
        <v>5</v>
      </c>
    </row>
    <row r="7" customFormat="false" ht="15" hidden="false" customHeight="false" outlineLevel="0" collapsed="false">
      <c r="A7" s="3" t="str">
        <f aca="false">통합데이터!A9</f>
        <v>TV·라디오</v>
      </c>
      <c r="B7" s="3" t="str">
        <f aca="false">통합데이터!B9</f>
        <v>라디오 광고</v>
      </c>
      <c r="C7" s="16" t="n">
        <f aca="false">IF(통합데이터!D9="","",통합데이터!D9)</f>
        <v>25.2</v>
      </c>
      <c r="D7" s="16" t="n">
        <f aca="false">IF(통합데이터!G9="","",통합데이터!G9)</f>
        <v>10.4</v>
      </c>
      <c r="E7" s="16" t="n">
        <f aca="false">IF(통합데이터!J9="","",통합데이터!J9)</f>
        <v>6.2</v>
      </c>
      <c r="F7" s="16" t="n">
        <f aca="false">IF(COUNT(C7:E7)=3,AVERAGE(C7:E7),"")</f>
        <v>13.9333333333333</v>
      </c>
      <c r="G7" s="19" t="n">
        <f aca="false">IF(OR(C7="",E7=""),"",IF(C7=0,"",E7/C7))</f>
        <v>0.246031746031746</v>
      </c>
      <c r="H7" s="19" t="n">
        <f aca="false">IF(OR(D7="",E7=""),"",IF(D7=0,"",E7/D7))</f>
        <v>0.596153846153846</v>
      </c>
      <c r="I7" s="20" t="n">
        <f aca="false">IF(C7="","",RANK(C7,$C$5:$C$38))</f>
        <v>18</v>
      </c>
      <c r="J7" s="20" t="n">
        <f aca="false">IF(D7="","",RANK(D7,$D$5:$D$38))</f>
        <v>25</v>
      </c>
      <c r="K7" s="20" t="n">
        <f aca="false">IF(E7="","",RANK(E7,$E$5:$E$38))</f>
        <v>21</v>
      </c>
      <c r="L7" s="20" t="n">
        <f aca="false">IF(F7="","",RANK(F7,$F$5:$F$38))</f>
        <v>20</v>
      </c>
      <c r="M7" s="20" t="n">
        <f aca="false">IF(C7="","",RANK(C7,$C$5:$C$38)+COUNTIF($C$4:C6,C7))</f>
        <v>18</v>
      </c>
      <c r="N7" s="20" t="n">
        <f aca="false">IF(D7="","",RANK(D7,$D$5:$D$38)+COUNTIF($D$4:D6,D7))</f>
        <v>25</v>
      </c>
      <c r="O7" s="20" t="n">
        <f aca="false">IF(E7="","",RANK(E7,$E$5:$E$38)+COUNTIF($E$4:E6,E7))</f>
        <v>21</v>
      </c>
      <c r="P7" s="20" t="n">
        <f aca="false">IF(F7="","",RANK(F7,$F$5:$F$38)+COUNTIF($F$4:F6,F7))</f>
        <v>20</v>
      </c>
    </row>
    <row r="8" customFormat="false" ht="15" hidden="false" customHeight="false" outlineLevel="0" collapsed="false">
      <c r="A8" s="3" t="str">
        <f aca="false">통합데이터!A10</f>
        <v>인쇄·DM</v>
      </c>
      <c r="B8" s="3" t="str">
        <f aca="false">통합데이터!B10</f>
        <v>신문 광고</v>
      </c>
      <c r="C8" s="16" t="n">
        <f aca="false">IF(통합데이터!D10="","",통합데이터!D10)</f>
        <v>21.9</v>
      </c>
      <c r="D8" s="16" t="n">
        <f aca="false">IF(통합데이터!G10="","",통합데이터!G10)</f>
        <v>8.3</v>
      </c>
      <c r="E8" s="16" t="n">
        <f aca="false">IF(통합데이터!J10="","",통합데이터!J10)</f>
        <v>4.7</v>
      </c>
      <c r="F8" s="16" t="n">
        <f aca="false">IF(COUNT(C8:E8)=3,AVERAGE(C8:E8),"")</f>
        <v>11.6333333333333</v>
      </c>
      <c r="G8" s="19" t="n">
        <f aca="false">IF(OR(C8="",E8=""),"",IF(C8=0,"",E8/C8))</f>
        <v>0.214611872146119</v>
      </c>
      <c r="H8" s="19" t="n">
        <f aca="false">IF(OR(D8="",E8=""),"",IF(D8=0,"",E8/D8))</f>
        <v>0.566265060240964</v>
      </c>
      <c r="I8" s="20" t="n">
        <f aca="false">IF(C8="","",RANK(C8,$C$5:$C$38))</f>
        <v>22</v>
      </c>
      <c r="J8" s="20" t="n">
        <f aca="false">IF(D8="","",RANK(D8,$D$5:$D$38))</f>
        <v>30</v>
      </c>
      <c r="K8" s="20" t="n">
        <f aca="false">IF(E8="","",RANK(E8,$E$5:$E$38))</f>
        <v>28</v>
      </c>
      <c r="L8" s="20" t="n">
        <f aca="false">IF(F8="","",RANK(F8,$F$5:$F$38))</f>
        <v>26</v>
      </c>
      <c r="M8" s="20" t="n">
        <f aca="false">IF(C8="","",RANK(C8,$C$5:$C$38)+COUNTIF($C$4:C7,C8))</f>
        <v>22</v>
      </c>
      <c r="N8" s="20" t="n">
        <f aca="false">IF(D8="","",RANK(D8,$D$5:$D$38)+COUNTIF($D$4:D7,D8))</f>
        <v>30</v>
      </c>
      <c r="O8" s="20" t="n">
        <f aca="false">IF(E8="","",RANK(E8,$E$5:$E$38)+COUNTIF($E$4:E7,E8))</f>
        <v>28</v>
      </c>
      <c r="P8" s="20" t="n">
        <f aca="false">IF(F8="","",RANK(F8,$F$5:$F$38)+COUNTIF($F$4:F7,F8))</f>
        <v>26</v>
      </c>
    </row>
    <row r="9" customFormat="false" ht="15" hidden="false" customHeight="false" outlineLevel="0" collapsed="false">
      <c r="A9" s="3" t="str">
        <f aca="false">통합데이터!A11</f>
        <v>인쇄·DM</v>
      </c>
      <c r="B9" s="3" t="str">
        <f aca="false">통합데이터!B11</f>
        <v>신문 기사</v>
      </c>
      <c r="C9" s="16" t="n">
        <f aca="false">IF(통합데이터!D11="","",통합데이터!D11)</f>
        <v>14.4</v>
      </c>
      <c r="D9" s="16" t="n">
        <f aca="false">IF(통합데이터!G11="","",통합데이터!G11)</f>
        <v>7.4</v>
      </c>
      <c r="E9" s="16" t="n">
        <f aca="false">IF(통합데이터!J11="","",통합데이터!J11)</f>
        <v>5.9</v>
      </c>
      <c r="F9" s="16" t="n">
        <f aca="false">IF(COUNT(C9:E9)=3,AVERAGE(C9:E9),"")</f>
        <v>9.23333333333333</v>
      </c>
      <c r="G9" s="19" t="n">
        <f aca="false">IF(OR(C9="",E9=""),"",IF(C9=0,"",E9/C9))</f>
        <v>0.409722222222222</v>
      </c>
      <c r="H9" s="19" t="n">
        <f aca="false">IF(OR(D9="",E9=""),"",IF(D9=0,"",E9/D9))</f>
        <v>0.797297297297297</v>
      </c>
      <c r="I9" s="20" t="n">
        <f aca="false">IF(C9="","",RANK(C9,$C$5:$C$38))</f>
        <v>28</v>
      </c>
      <c r="J9" s="20" t="n">
        <f aca="false">IF(D9="","",RANK(D9,$D$5:$D$38))</f>
        <v>33</v>
      </c>
      <c r="K9" s="20" t="n">
        <f aca="false">IF(E9="","",RANK(E9,$E$5:$E$38))</f>
        <v>24</v>
      </c>
      <c r="L9" s="20" t="n">
        <f aca="false">IF(F9="","",RANK(F9,$F$5:$F$38))</f>
        <v>29</v>
      </c>
      <c r="M9" s="20" t="n">
        <f aca="false">IF(C9="","",RANK(C9,$C$5:$C$38)+COUNTIF($C$4:C8,C9))</f>
        <v>28</v>
      </c>
      <c r="N9" s="20" t="n">
        <f aca="false">IF(D9="","",RANK(D9,$D$5:$D$38)+COUNTIF($D$4:D8,D9))</f>
        <v>33</v>
      </c>
      <c r="O9" s="20" t="n">
        <f aca="false">IF(E9="","",RANK(E9,$E$5:$E$38)+COUNTIF($E$4:E8,E9))</f>
        <v>24</v>
      </c>
      <c r="P9" s="20" t="n">
        <f aca="false">IF(F9="","",RANK(F9,$F$5:$F$38)+COUNTIF($F$4:F8,F9))</f>
        <v>29</v>
      </c>
    </row>
    <row r="10" customFormat="false" ht="15" hidden="false" customHeight="false" outlineLevel="0" collapsed="false">
      <c r="A10" s="3" t="str">
        <f aca="false">통합데이터!A12</f>
        <v>인쇄·DM</v>
      </c>
      <c r="B10" s="3" t="str">
        <f aca="false">통합데이터!B12</f>
        <v>잡지 광고</v>
      </c>
      <c r="C10" s="16" t="n">
        <f aca="false">IF(통합데이터!D12="","",통합데이터!D12)</f>
        <v>19.1</v>
      </c>
      <c r="D10" s="16" t="n">
        <f aca="false">IF(통합데이터!G12="","",통합데이터!G12)</f>
        <v>13.4</v>
      </c>
      <c r="E10" s="16" t="n">
        <f aca="false">IF(통합데이터!J12="","",통합데이터!J12)</f>
        <v>4.8</v>
      </c>
      <c r="F10" s="16" t="n">
        <f aca="false">IF(COUNT(C10:E10)=3,AVERAGE(C10:E10),"")</f>
        <v>12.4333333333333</v>
      </c>
      <c r="G10" s="19" t="n">
        <f aca="false">IF(OR(C10="",E10=""),"",IF(C10=0,"",E10/C10))</f>
        <v>0.25130890052356</v>
      </c>
      <c r="H10" s="19" t="n">
        <f aca="false">IF(OR(D10="",E10=""),"",IF(D10=0,"",E10/D10))</f>
        <v>0.358208955223881</v>
      </c>
      <c r="I10" s="20" t="n">
        <f aca="false">IF(C10="","",RANK(C10,$C$5:$C$38))</f>
        <v>26</v>
      </c>
      <c r="J10" s="20" t="n">
        <f aca="false">IF(D10="","",RANK(D10,$D$5:$D$38))</f>
        <v>19</v>
      </c>
      <c r="K10" s="20" t="n">
        <f aca="false">IF(E10="","",RANK(E10,$E$5:$E$38))</f>
        <v>27</v>
      </c>
      <c r="L10" s="20" t="n">
        <f aca="false">IF(F10="","",RANK(F10,$F$5:$F$38))</f>
        <v>22</v>
      </c>
      <c r="M10" s="20" t="n">
        <f aca="false">IF(C10="","",RANK(C10,$C$5:$C$38)+COUNTIF($C$4:C9,C10))</f>
        <v>26</v>
      </c>
      <c r="N10" s="20" t="n">
        <f aca="false">IF(D10="","",RANK(D10,$D$5:$D$38)+COUNTIF($D$4:D9,D10))</f>
        <v>19</v>
      </c>
      <c r="O10" s="20" t="n">
        <f aca="false">IF(E10="","",RANK(E10,$E$5:$E$38)+COUNTIF($E$4:E9,E10))</f>
        <v>27</v>
      </c>
      <c r="P10" s="20" t="n">
        <f aca="false">IF(F10="","",RANK(F10,$F$5:$F$38)+COUNTIF($F$4:F9,F10))</f>
        <v>22</v>
      </c>
    </row>
    <row r="11" customFormat="false" ht="15" hidden="false" customHeight="false" outlineLevel="0" collapsed="false">
      <c r="A11" s="3" t="str">
        <f aca="false">통합데이터!A13</f>
        <v>인쇄·DM</v>
      </c>
      <c r="B11" s="3" t="str">
        <f aca="false">통합데이터!B13</f>
        <v>잡지 기사</v>
      </c>
      <c r="C11" s="16" t="n">
        <f aca="false">IF(통합데이터!D13="","",통합데이터!D13)</f>
        <v>13.8</v>
      </c>
      <c r="D11" s="16" t="n">
        <f aca="false">IF(통합데이터!G13="","",통합데이터!G13)</f>
        <v>8</v>
      </c>
      <c r="E11" s="16" t="n">
        <f aca="false">IF(통합데이터!J13="","",통합데이터!J13)</f>
        <v>5.6</v>
      </c>
      <c r="F11" s="16" t="n">
        <f aca="false">IF(COUNT(C11:E11)=3,AVERAGE(C11:E11),"")</f>
        <v>9.13333333333333</v>
      </c>
      <c r="G11" s="19" t="n">
        <f aca="false">IF(OR(C11="",E11=""),"",IF(C11=0,"",E11/C11))</f>
        <v>0.405797101449275</v>
      </c>
      <c r="H11" s="19" t="n">
        <f aca="false">IF(OR(D11="",E11=""),"",IF(D11=0,"",E11/D11))</f>
        <v>0.7</v>
      </c>
      <c r="I11" s="20" t="n">
        <f aca="false">IF(C11="","",RANK(C11,$C$5:$C$38))</f>
        <v>31</v>
      </c>
      <c r="J11" s="20" t="n">
        <f aca="false">IF(D11="","",RANK(D11,$D$5:$D$38))</f>
        <v>32</v>
      </c>
      <c r="K11" s="20" t="n">
        <f aca="false">IF(E11="","",RANK(E11,$E$5:$E$38))</f>
        <v>25</v>
      </c>
      <c r="L11" s="20" t="n">
        <f aca="false">IF(F11="","",RANK(F11,$F$5:$F$38))</f>
        <v>31</v>
      </c>
      <c r="M11" s="20" t="n">
        <f aca="false">IF(C11="","",RANK(C11,$C$5:$C$38)+COUNTIF($C$4:C10,C11))</f>
        <v>31</v>
      </c>
      <c r="N11" s="20" t="n">
        <f aca="false">IF(D11="","",RANK(D11,$D$5:$D$38)+COUNTIF($D$4:D10,D11))</f>
        <v>32</v>
      </c>
      <c r="O11" s="20" t="n">
        <f aca="false">IF(E11="","",RANK(E11,$E$5:$E$38)+COUNTIF($E$4:E10,E11))</f>
        <v>25</v>
      </c>
      <c r="P11" s="20" t="n">
        <f aca="false">IF(F11="","",RANK(F11,$F$5:$F$38)+COUNTIF($F$4:F10,F11))</f>
        <v>31</v>
      </c>
    </row>
    <row r="12" customFormat="false" ht="15" hidden="false" customHeight="false" outlineLevel="0" collapsed="false">
      <c r="A12" s="3" t="str">
        <f aca="false">통합데이터!A14</f>
        <v>인쇄·DM</v>
      </c>
      <c r="B12" s="3" t="str">
        <f aca="false">통합데이터!B14</f>
        <v>제품 카달로그/전단지</v>
      </c>
      <c r="C12" s="16" t="n">
        <f aca="false">IF(통합데이터!D14="","",통합데이터!D14)</f>
        <v>37</v>
      </c>
      <c r="D12" s="16" t="n">
        <f aca="false">IF(통합데이터!G14="","",통합데이터!G14)</f>
        <v>26.1</v>
      </c>
      <c r="E12" s="16" t="n">
        <f aca="false">IF(통합데이터!J14="","",통합데이터!J14)</f>
        <v>20.3</v>
      </c>
      <c r="F12" s="16" t="n">
        <f aca="false">IF(COUNT(C12:E12)=3,AVERAGE(C12:E12),"")</f>
        <v>27.8</v>
      </c>
      <c r="G12" s="19" t="n">
        <f aca="false">IF(OR(C12="",E12=""),"",IF(C12=0,"",E12/C12))</f>
        <v>0.548648648648649</v>
      </c>
      <c r="H12" s="19" t="n">
        <f aca="false">IF(OR(D12="",E12=""),"",IF(D12=0,"",E12/D12))</f>
        <v>0.777777777777778</v>
      </c>
      <c r="I12" s="20" t="n">
        <f aca="false">IF(C12="","",RANK(C12,$C$5:$C$38))</f>
        <v>8</v>
      </c>
      <c r="J12" s="20" t="n">
        <f aca="false">IF(D12="","",RANK(D12,$D$5:$D$38))</f>
        <v>7</v>
      </c>
      <c r="K12" s="20" t="n">
        <f aca="false">IF(E12="","",RANK(E12,$E$5:$E$38))</f>
        <v>9</v>
      </c>
      <c r="L12" s="20" t="n">
        <f aca="false">IF(F12="","",RANK(F12,$F$5:$F$38))</f>
        <v>6</v>
      </c>
      <c r="M12" s="20" t="n">
        <f aca="false">IF(C12="","",RANK(C12,$C$5:$C$38)+COUNTIF($C$4:C11,C12))</f>
        <v>8</v>
      </c>
      <c r="N12" s="20" t="n">
        <f aca="false">IF(D12="","",RANK(D12,$D$5:$D$38)+COUNTIF($D$4:D11,D12))</f>
        <v>7</v>
      </c>
      <c r="O12" s="20" t="n">
        <f aca="false">IF(E12="","",RANK(E12,$E$5:$E$38)+COUNTIF($E$4:E11,E12))</f>
        <v>9</v>
      </c>
      <c r="P12" s="20" t="n">
        <f aca="false">IF(F12="","",RANK(F12,$F$5:$F$38)+COUNTIF($F$4:F11,F12))</f>
        <v>6</v>
      </c>
    </row>
    <row r="13" customFormat="false" ht="15" hidden="false" customHeight="false" outlineLevel="0" collapsed="false">
      <c r="A13" s="3" t="str">
        <f aca="false">통합데이터!A15</f>
        <v>인쇄·DM</v>
      </c>
      <c r="B13" s="3" t="str">
        <f aca="false">통합데이터!B15</f>
        <v>광고 우편물/명세서 등</v>
      </c>
      <c r="C13" s="16" t="n">
        <f aca="false">IF(통합데이터!D15="","",통합데이터!D15)</f>
        <v>25.9</v>
      </c>
      <c r="D13" s="16" t="n">
        <f aca="false">IF(통합데이터!G15="","",통합데이터!G15)</f>
        <v>13</v>
      </c>
      <c r="E13" s="16" t="n">
        <f aca="false">IF(통합데이터!J15="","",통합데이터!J15)</f>
        <v>9.5</v>
      </c>
      <c r="F13" s="16" t="n">
        <f aca="false">IF(COUNT(C13:E13)=3,AVERAGE(C13:E13),"")</f>
        <v>16.1333333333333</v>
      </c>
      <c r="G13" s="19" t="n">
        <f aca="false">IF(OR(C13="",E13=""),"",IF(C13=0,"",E13/C13))</f>
        <v>0.366795366795367</v>
      </c>
      <c r="H13" s="19" t="n">
        <f aca="false">IF(OR(D13="",E13=""),"",IF(D13=0,"",E13/D13))</f>
        <v>0.730769230769231</v>
      </c>
      <c r="I13" s="20" t="n">
        <f aca="false">IF(C13="","",RANK(C13,$C$5:$C$38))</f>
        <v>15</v>
      </c>
      <c r="J13" s="20" t="n">
        <f aca="false">IF(D13="","",RANK(D13,$D$5:$D$38))</f>
        <v>20</v>
      </c>
      <c r="K13" s="20" t="n">
        <f aca="false">IF(E13="","",RANK(E13,$E$5:$E$38))</f>
        <v>16</v>
      </c>
      <c r="L13" s="20" t="n">
        <f aca="false">IF(F13="","",RANK(F13,$F$5:$F$38))</f>
        <v>19</v>
      </c>
      <c r="M13" s="20" t="n">
        <f aca="false">IF(C13="","",RANK(C13,$C$5:$C$38)+COUNTIF($C$4:C12,C13))</f>
        <v>15</v>
      </c>
      <c r="N13" s="20" t="n">
        <f aca="false">IF(D13="","",RANK(D13,$D$5:$D$38)+COUNTIF($D$4:D12,D13))</f>
        <v>20</v>
      </c>
      <c r="O13" s="20" t="n">
        <f aca="false">IF(E13="","",RANK(E13,$E$5:$E$38)+COUNTIF($E$4:E12,E13))</f>
        <v>16</v>
      </c>
      <c r="P13" s="20" t="n">
        <f aca="false">IF(F13="","",RANK(F13,$F$5:$F$38)+COUNTIF($F$4:F12,F13))</f>
        <v>19</v>
      </c>
    </row>
    <row r="14" customFormat="false" ht="15" hidden="false" customHeight="false" outlineLevel="0" collapsed="false">
      <c r="A14" s="3" t="str">
        <f aca="false">통합데이터!A16</f>
        <v>온라인·디지털</v>
      </c>
      <c r="B14" s="3" t="str">
        <f aca="false">통합데이터!B16</f>
        <v>배너 광고</v>
      </c>
      <c r="C14" s="16" t="n">
        <f aca="false">IF(통합데이터!D16="","",통합데이터!D16)</f>
        <v>23.6</v>
      </c>
      <c r="D14" s="16" t="n">
        <f aca="false">IF(통합데이터!G16="","",통합데이터!G16)</f>
        <v>9</v>
      </c>
      <c r="E14" s="16" t="n">
        <f aca="false">IF(통합데이터!J16="","",통합데이터!J16)</f>
        <v>4.1</v>
      </c>
      <c r="F14" s="16" t="n">
        <f aca="false">IF(COUNT(C14:E14)=3,AVERAGE(C14:E14),"")</f>
        <v>12.2333333333333</v>
      </c>
      <c r="G14" s="19" t="n">
        <f aca="false">IF(OR(C14="",E14=""),"",IF(C14=0,"",E14/C14))</f>
        <v>0.173728813559322</v>
      </c>
      <c r="H14" s="19" t="n">
        <f aca="false">IF(OR(D14="",E14=""),"",IF(D14=0,"",E14/D14))</f>
        <v>0.455555555555556</v>
      </c>
      <c r="I14" s="20" t="n">
        <f aca="false">IF(C14="","",RANK(C14,$C$5:$C$38))</f>
        <v>20</v>
      </c>
      <c r="J14" s="20" t="n">
        <f aca="false">IF(D14="","",RANK(D14,$D$5:$D$38))</f>
        <v>28</v>
      </c>
      <c r="K14" s="20" t="n">
        <f aca="false">IF(E14="","",RANK(E14,$E$5:$E$38))</f>
        <v>29</v>
      </c>
      <c r="L14" s="20" t="n">
        <f aca="false">IF(F14="","",RANK(F14,$F$5:$F$38))</f>
        <v>23</v>
      </c>
      <c r="M14" s="20" t="n">
        <f aca="false">IF(C14="","",RANK(C14,$C$5:$C$38)+COUNTIF($C$4:C13,C14))</f>
        <v>20</v>
      </c>
      <c r="N14" s="20" t="n">
        <f aca="false">IF(D14="","",RANK(D14,$D$5:$D$38)+COUNTIF($D$4:D13,D14))</f>
        <v>28</v>
      </c>
      <c r="O14" s="20" t="n">
        <f aca="false">IF(E14="","",RANK(E14,$E$5:$E$38)+COUNTIF($E$4:E13,E14))</f>
        <v>29</v>
      </c>
      <c r="P14" s="20" t="n">
        <f aca="false">IF(F14="","",RANK(F14,$F$5:$F$38)+COUNTIF($F$4:F13,F14))</f>
        <v>23</v>
      </c>
    </row>
    <row r="15" customFormat="false" ht="15" hidden="false" customHeight="false" outlineLevel="0" collapsed="false">
      <c r="A15" s="3" t="str">
        <f aca="false">통합데이터!A17</f>
        <v>온라인·디지털</v>
      </c>
      <c r="B15" s="3" t="str">
        <f aca="false">통합데이터!B17</f>
        <v>팝업 광고</v>
      </c>
      <c r="C15" s="16" t="n">
        <f aca="false">IF(통합데이터!D17="","",통합데이터!D17)</f>
        <v>21.6</v>
      </c>
      <c r="D15" s="16" t="n">
        <f aca="false">IF(통합데이터!G17="","",통합데이터!G17)</f>
        <v>8.1</v>
      </c>
      <c r="E15" s="16" t="n">
        <f aca="false">IF(통합데이터!J17="","",통합데이터!J17)</f>
        <v>3.4</v>
      </c>
      <c r="F15" s="16" t="n">
        <f aca="false">IF(COUNT(C15:E15)=3,AVERAGE(C15:E15),"")</f>
        <v>11.0333333333333</v>
      </c>
      <c r="G15" s="19" t="n">
        <f aca="false">IF(OR(C15="",E15=""),"",IF(C15=0,"",E15/C15))</f>
        <v>0.157407407407407</v>
      </c>
      <c r="H15" s="19" t="n">
        <f aca="false">IF(OR(D15="",E15=""),"",IF(D15=0,"",E15/D15))</f>
        <v>0.419753086419753</v>
      </c>
      <c r="I15" s="20" t="n">
        <f aca="false">IF(C15="","",RANK(C15,$C$5:$C$38))</f>
        <v>23</v>
      </c>
      <c r="J15" s="20" t="n">
        <f aca="false">IF(D15="","",RANK(D15,$D$5:$D$38))</f>
        <v>31</v>
      </c>
      <c r="K15" s="20" t="n">
        <f aca="false">IF(E15="","",RANK(E15,$E$5:$E$38))</f>
        <v>33</v>
      </c>
      <c r="L15" s="20" t="n">
        <f aca="false">IF(F15="","",RANK(F15,$F$5:$F$38))</f>
        <v>27</v>
      </c>
      <c r="M15" s="20" t="n">
        <f aca="false">IF(C15="","",RANK(C15,$C$5:$C$38)+COUNTIF($C$4:C14,C15))</f>
        <v>23</v>
      </c>
      <c r="N15" s="20" t="n">
        <f aca="false">IF(D15="","",RANK(D15,$D$5:$D$38)+COUNTIF($D$4:D14,D15))</f>
        <v>31</v>
      </c>
      <c r="O15" s="20" t="n">
        <f aca="false">IF(E15="","",RANK(E15,$E$5:$E$38)+COUNTIF($E$4:E14,E15))</f>
        <v>33</v>
      </c>
      <c r="P15" s="20" t="n">
        <f aca="false">IF(F15="","",RANK(F15,$F$5:$F$38)+COUNTIF($F$4:F14,F15))</f>
        <v>27</v>
      </c>
    </row>
    <row r="16" customFormat="false" ht="15" hidden="false" customHeight="false" outlineLevel="0" collapsed="false">
      <c r="A16" s="3" t="str">
        <f aca="false">통합데이터!A18</f>
        <v>온라인·디지털</v>
      </c>
      <c r="B16" s="3" t="str">
        <f aca="false">통합데이터!B18</f>
        <v>동영상 광고 (동영상 재생 전후 등)</v>
      </c>
      <c r="C16" s="16" t="n">
        <f aca="false">IF(통합데이터!D18="","",통합데이터!D18)</f>
        <v>23.4</v>
      </c>
      <c r="D16" s="16" t="n">
        <f aca="false">IF(통합데이터!G18="","",통합데이터!G18)</f>
        <v>12.2</v>
      </c>
      <c r="E16" s="16" t="n">
        <f aca="false">IF(통합데이터!J18="","",통합데이터!J18)</f>
        <v>5.3</v>
      </c>
      <c r="F16" s="16" t="n">
        <f aca="false">IF(COUNT(C16:E16)=3,AVERAGE(C16:E16),"")</f>
        <v>13.6333333333333</v>
      </c>
      <c r="G16" s="19" t="n">
        <f aca="false">IF(OR(C16="",E16=""),"",IF(C16=0,"",E16/C16))</f>
        <v>0.226495726495727</v>
      </c>
      <c r="H16" s="19" t="n">
        <f aca="false">IF(OR(D16="",E16=""),"",IF(D16=0,"",E16/D16))</f>
        <v>0.434426229508197</v>
      </c>
      <c r="I16" s="20" t="n">
        <f aca="false">IF(C16="","",RANK(C16,$C$5:$C$38))</f>
        <v>21</v>
      </c>
      <c r="J16" s="20" t="n">
        <f aca="false">IF(D16="","",RANK(D16,$D$5:$D$38))</f>
        <v>22</v>
      </c>
      <c r="K16" s="20" t="n">
        <f aca="false">IF(E16="","",RANK(E16,$E$5:$E$38))</f>
        <v>26</v>
      </c>
      <c r="L16" s="20" t="n">
        <f aca="false">IF(F16="","",RANK(F16,$F$5:$F$38))</f>
        <v>21</v>
      </c>
      <c r="M16" s="20" t="n">
        <f aca="false">IF(C16="","",RANK(C16,$C$5:$C$38)+COUNTIF($C$4:C15,C16))</f>
        <v>21</v>
      </c>
      <c r="N16" s="20" t="n">
        <f aca="false">IF(D16="","",RANK(D16,$D$5:$D$38)+COUNTIF($D$4:D15,D16))</f>
        <v>22</v>
      </c>
      <c r="O16" s="20" t="n">
        <f aca="false">IF(E16="","",RANK(E16,$E$5:$E$38)+COUNTIF($E$4:E15,E16))</f>
        <v>26</v>
      </c>
      <c r="P16" s="20" t="n">
        <f aca="false">IF(F16="","",RANK(F16,$F$5:$F$38)+COUNTIF($F$4:F15,F16))</f>
        <v>21</v>
      </c>
    </row>
    <row r="17" customFormat="false" ht="15" hidden="false" customHeight="false" outlineLevel="0" collapsed="false">
      <c r="A17" s="3" t="str">
        <f aca="false">통합데이터!A19</f>
        <v>온라인·디지털</v>
      </c>
      <c r="B17" s="3" t="str">
        <f aca="false">통합데이터!B19</f>
        <v>검색어/키워드 광고</v>
      </c>
      <c r="C17" s="16" t="n">
        <f aca="false">IF(통합데이터!D19="","",통합데이터!D19)</f>
        <v>20.4</v>
      </c>
      <c r="D17" s="16" t="n">
        <f aca="false">IF(통합데이터!G19="","",통합데이터!G19)</f>
        <v>8.8</v>
      </c>
      <c r="E17" s="16" t="n">
        <f aca="false">IF(통합데이터!J19="","",통합데이터!J19)</f>
        <v>6.1</v>
      </c>
      <c r="F17" s="16" t="n">
        <f aca="false">IF(COUNT(C17:E17)=3,AVERAGE(C17:E17),"")</f>
        <v>11.7666666666667</v>
      </c>
      <c r="G17" s="19" t="n">
        <f aca="false">IF(OR(C17="",E17=""),"",IF(C17=0,"",E17/C17))</f>
        <v>0.299019607843137</v>
      </c>
      <c r="H17" s="19" t="n">
        <f aca="false">IF(OR(D17="",E17=""),"",IF(D17=0,"",E17/D17))</f>
        <v>0.693181818181818</v>
      </c>
      <c r="I17" s="20" t="n">
        <f aca="false">IF(C17="","",RANK(C17,$C$5:$C$38))</f>
        <v>25</v>
      </c>
      <c r="J17" s="20" t="n">
        <f aca="false">IF(D17="","",RANK(D17,$D$5:$D$38))</f>
        <v>29</v>
      </c>
      <c r="K17" s="20" t="n">
        <f aca="false">IF(E17="","",RANK(E17,$E$5:$E$38))</f>
        <v>23</v>
      </c>
      <c r="L17" s="20" t="n">
        <f aca="false">IF(F17="","",RANK(F17,$F$5:$F$38))</f>
        <v>25</v>
      </c>
      <c r="M17" s="20" t="n">
        <f aca="false">IF(C17="","",RANK(C17,$C$5:$C$38)+COUNTIF($C$4:C16,C17))</f>
        <v>25</v>
      </c>
      <c r="N17" s="20" t="n">
        <f aca="false">IF(D17="","",RANK(D17,$D$5:$D$38)+COUNTIF($D$4:D16,D17))</f>
        <v>29</v>
      </c>
      <c r="O17" s="20" t="n">
        <f aca="false">IF(E17="","",RANK(E17,$E$5:$E$38)+COUNTIF($E$4:E16,E17))</f>
        <v>23</v>
      </c>
      <c r="P17" s="20" t="n">
        <f aca="false">IF(F17="","",RANK(F17,$F$5:$F$38)+COUNTIF($F$4:F16,F17))</f>
        <v>25</v>
      </c>
    </row>
    <row r="18" customFormat="false" ht="15" hidden="false" customHeight="false" outlineLevel="0" collapsed="false">
      <c r="A18" s="3" t="str">
        <f aca="false">통합데이터!A20</f>
        <v>온라인·디지털</v>
      </c>
      <c r="B18" s="3" t="str">
        <f aca="false">통합데이터!B20</f>
        <v>인터넷 기사</v>
      </c>
      <c r="C18" s="16" t="n">
        <f aca="false">IF(통합데이터!D20="","",통합데이터!D20)</f>
        <v>28.6</v>
      </c>
      <c r="D18" s="16" t="n">
        <f aca="false">IF(통합데이터!G20="","",통합데이터!G20)</f>
        <v>16</v>
      </c>
      <c r="E18" s="16" t="n">
        <f aca="false">IF(통합데이터!J20="","",통합데이터!J20)</f>
        <v>13.4</v>
      </c>
      <c r="F18" s="16" t="n">
        <f aca="false">IF(COUNT(C18:E18)=3,AVERAGE(C18:E18),"")</f>
        <v>19.3333333333333</v>
      </c>
      <c r="G18" s="19" t="n">
        <f aca="false">IF(OR(C18="",E18=""),"",IF(C18=0,"",E18/C18))</f>
        <v>0.468531468531469</v>
      </c>
      <c r="H18" s="19" t="n">
        <f aca="false">IF(OR(D18="",E18=""),"",IF(D18=0,"",E18/D18))</f>
        <v>0.8375</v>
      </c>
      <c r="I18" s="20" t="n">
        <f aca="false">IF(C18="","",RANK(C18,$C$5:$C$38))</f>
        <v>12</v>
      </c>
      <c r="J18" s="20" t="n">
        <f aca="false">IF(D18="","",RANK(D18,$D$5:$D$38))</f>
        <v>17</v>
      </c>
      <c r="K18" s="20" t="n">
        <f aca="false">IF(E18="","",RANK(E18,$E$5:$E$38))</f>
        <v>13</v>
      </c>
      <c r="L18" s="20" t="n">
        <f aca="false">IF(F18="","",RANK(F18,$F$5:$F$38))</f>
        <v>16</v>
      </c>
      <c r="M18" s="20" t="n">
        <f aca="false">IF(C18="","",RANK(C18,$C$5:$C$38)+COUNTIF($C$4:C17,C18))</f>
        <v>12</v>
      </c>
      <c r="N18" s="20" t="n">
        <f aca="false">IF(D18="","",RANK(D18,$D$5:$D$38)+COUNTIF($D$4:D17,D18))</f>
        <v>17</v>
      </c>
      <c r="O18" s="20" t="n">
        <f aca="false">IF(E18="","",RANK(E18,$E$5:$E$38)+COUNTIF($E$4:E17,E18))</f>
        <v>13</v>
      </c>
      <c r="P18" s="20" t="n">
        <f aca="false">IF(F18="","",RANK(F18,$F$5:$F$38)+COUNTIF($F$4:F17,F18))</f>
        <v>16</v>
      </c>
    </row>
    <row r="19" customFormat="false" ht="15" hidden="false" customHeight="false" outlineLevel="0" collapsed="false">
      <c r="A19" s="3" t="str">
        <f aca="false">통합데이터!A21</f>
        <v>온라인·디지털</v>
      </c>
      <c r="B19" s="3" t="str">
        <f aca="false">통합데이터!B21</f>
        <v>SNS(페이스북, 인스타그램, 트위터 등) 광고/홍보</v>
      </c>
      <c r="C19" s="16" t="n">
        <f aca="false">IF(통합데이터!D21="","",통합데이터!D21)</f>
        <v>24.3</v>
      </c>
      <c r="D19" s="16" t="n">
        <f aca="false">IF(통합데이터!G21="","",통합데이터!G21)</f>
        <v>16.1</v>
      </c>
      <c r="E19" s="16" t="n">
        <f aca="false">IF(통합데이터!J21="","",통합데이터!J21)</f>
        <v>11.1</v>
      </c>
      <c r="F19" s="16" t="n">
        <f aca="false">IF(COUNT(C19:E19)=3,AVERAGE(C19:E19),"")</f>
        <v>17.1666666666667</v>
      </c>
      <c r="G19" s="19" t="n">
        <f aca="false">IF(OR(C19="",E19=""),"",IF(C19=0,"",E19/C19))</f>
        <v>0.45679012345679</v>
      </c>
      <c r="H19" s="19" t="n">
        <f aca="false">IF(OR(D19="",E19=""),"",IF(D19=0,"",E19/D19))</f>
        <v>0.68944099378882</v>
      </c>
      <c r="I19" s="20" t="n">
        <f aca="false">IF(C19="","",RANK(C19,$C$5:$C$38))</f>
        <v>19</v>
      </c>
      <c r="J19" s="20" t="n">
        <f aca="false">IF(D19="","",RANK(D19,$D$5:$D$38))</f>
        <v>16</v>
      </c>
      <c r="K19" s="20" t="n">
        <f aca="false">IF(E19="","",RANK(E19,$E$5:$E$38))</f>
        <v>14</v>
      </c>
      <c r="L19" s="20" t="n">
        <f aca="false">IF(F19="","",RANK(F19,$F$5:$F$38))</f>
        <v>18</v>
      </c>
      <c r="M19" s="20" t="n">
        <f aca="false">IF(C19="","",RANK(C19,$C$5:$C$38)+COUNTIF($C$4:C18,C19))</f>
        <v>19</v>
      </c>
      <c r="N19" s="20" t="n">
        <f aca="false">IF(D19="","",RANK(D19,$D$5:$D$38)+COUNTIF($D$4:D18,D19))</f>
        <v>16</v>
      </c>
      <c r="O19" s="20" t="n">
        <f aca="false">IF(E19="","",RANK(E19,$E$5:$E$38)+COUNTIF($E$4:E18,E19))</f>
        <v>14</v>
      </c>
      <c r="P19" s="20" t="n">
        <f aca="false">IF(F19="","",RANK(F19,$F$5:$F$38)+COUNTIF($F$4:F18,F19))</f>
        <v>18</v>
      </c>
    </row>
    <row r="20" customFormat="false" ht="15" hidden="false" customHeight="false" outlineLevel="0" collapsed="false">
      <c r="A20" s="3" t="str">
        <f aca="false">통합데이터!A22</f>
        <v>온라인·디지털</v>
      </c>
      <c r="B20" s="3" t="str">
        <f aca="false">통합데이터!B22</f>
        <v>SNS, 블로그 사용자 후기 및 전문가 리뷰</v>
      </c>
      <c r="C20" s="16" t="n">
        <f aca="false">IF(통합데이터!D22="","",통합데이터!D22)</f>
        <v>25.6</v>
      </c>
      <c r="D20" s="16" t="n">
        <f aca="false">IF(통합데이터!G22="","",통합데이터!G22)</f>
        <v>20.5</v>
      </c>
      <c r="E20" s="16" t="n">
        <f aca="false">IF(통합데이터!J22="","",통합데이터!J22)</f>
        <v>21</v>
      </c>
      <c r="F20" s="16" t="n">
        <f aca="false">IF(COUNT(C20:E20)=3,AVERAGE(C20:E20),"")</f>
        <v>22.3666666666667</v>
      </c>
      <c r="G20" s="19" t="n">
        <f aca="false">IF(OR(C20="",E20=""),"",IF(C20=0,"",E20/C20))</f>
        <v>0.8203125</v>
      </c>
      <c r="H20" s="19" t="n">
        <f aca="false">IF(OR(D20="",E20=""),"",IF(D20=0,"",E20/D20))</f>
        <v>1.02439024390244</v>
      </c>
      <c r="I20" s="20" t="n">
        <f aca="false">IF(C20="","",RANK(C20,$C$5:$C$38))</f>
        <v>16</v>
      </c>
      <c r="J20" s="20" t="n">
        <f aca="false">IF(D20="","",RANK(D20,$D$5:$D$38))</f>
        <v>12</v>
      </c>
      <c r="K20" s="20" t="n">
        <f aca="false">IF(E20="","",RANK(E20,$E$5:$E$38))</f>
        <v>7</v>
      </c>
      <c r="L20" s="20" t="n">
        <f aca="false">IF(F20="","",RANK(F20,$F$5:$F$38))</f>
        <v>12</v>
      </c>
      <c r="M20" s="20" t="n">
        <f aca="false">IF(C20="","",RANK(C20,$C$5:$C$38)+COUNTIF($C$4:C19,C20))</f>
        <v>16</v>
      </c>
      <c r="N20" s="20" t="n">
        <f aca="false">IF(D20="","",RANK(D20,$D$5:$D$38)+COUNTIF($D$4:D19,D20))</f>
        <v>12</v>
      </c>
      <c r="O20" s="20" t="n">
        <f aca="false">IF(E20="","",RANK(E20,$E$5:$E$38)+COUNTIF($E$4:E19,E20))</f>
        <v>7</v>
      </c>
      <c r="P20" s="20" t="n">
        <f aca="false">IF(F20="","",RANK(F20,$F$5:$F$38)+COUNTIF($F$4:F19,F20))</f>
        <v>12</v>
      </c>
    </row>
    <row r="21" customFormat="false" ht="15" hidden="false" customHeight="false" outlineLevel="0" collapsed="false">
      <c r="A21" s="3" t="str">
        <f aca="false">통합데이터!A23</f>
        <v>온라인·디지털</v>
      </c>
      <c r="B21" s="3" t="str">
        <f aca="false">통합데이터!B23</f>
        <v>포털 카페 및 커뮤니티(네이버, 다음 등)</v>
      </c>
      <c r="C21" s="16" t="n">
        <f aca="false">IF(통합데이터!D23="","",통합데이터!D23)</f>
        <v>28.2</v>
      </c>
      <c r="D21" s="16" t="n">
        <f aca="false">IF(통합데이터!G23="","",통합데이터!G23)</f>
        <v>17.6</v>
      </c>
      <c r="E21" s="16" t="n">
        <f aca="false">IF(통합데이터!J23="","",통합데이터!J23)</f>
        <v>15.4</v>
      </c>
      <c r="F21" s="16" t="n">
        <f aca="false">IF(COUNT(C21:E21)=3,AVERAGE(C21:E21),"")</f>
        <v>20.4</v>
      </c>
      <c r="G21" s="19" t="n">
        <f aca="false">IF(OR(C21="",E21=""),"",IF(C21=0,"",E21/C21))</f>
        <v>0.546099290780142</v>
      </c>
      <c r="H21" s="19" t="n">
        <f aca="false">IF(OR(D21="",E21=""),"",IF(D21=0,"",E21/D21))</f>
        <v>0.875</v>
      </c>
      <c r="I21" s="20" t="n">
        <f aca="false">IF(C21="","",RANK(C21,$C$5:$C$38))</f>
        <v>13</v>
      </c>
      <c r="J21" s="20" t="n">
        <f aca="false">IF(D21="","",RANK(D21,$D$5:$D$38))</f>
        <v>14</v>
      </c>
      <c r="K21" s="20" t="n">
        <f aca="false">IF(E21="","",RANK(E21,$E$5:$E$38))</f>
        <v>11</v>
      </c>
      <c r="L21" s="20" t="n">
        <f aca="false">IF(F21="","",RANK(F21,$F$5:$F$38))</f>
        <v>14</v>
      </c>
      <c r="M21" s="20" t="n">
        <f aca="false">IF(C21="","",RANK(C21,$C$5:$C$38)+COUNTIF($C$4:C20,C21))</f>
        <v>13</v>
      </c>
      <c r="N21" s="20" t="n">
        <f aca="false">IF(D21="","",RANK(D21,$D$5:$D$38)+COUNTIF($D$4:D20,D21))</f>
        <v>14</v>
      </c>
      <c r="O21" s="20" t="n">
        <f aca="false">IF(E21="","",RANK(E21,$E$5:$E$38)+COUNTIF($E$4:E20,E21))</f>
        <v>11</v>
      </c>
      <c r="P21" s="20" t="n">
        <f aca="false">IF(F21="","",RANK(F21,$F$5:$F$38)+COUNTIF($F$4:F20,F21))</f>
        <v>14</v>
      </c>
    </row>
    <row r="22" customFormat="false" ht="15" hidden="false" customHeight="false" outlineLevel="0" collapsed="false">
      <c r="A22" s="3" t="str">
        <f aca="false">통합데이터!A24</f>
        <v>온라인·디지털</v>
      </c>
      <c r="B22" s="3" t="str">
        <f aca="false">통합데이터!B24</f>
        <v>가격비교사이트 및 제품 관련 전문사이트</v>
      </c>
      <c r="C22" s="16" t="n">
        <f aca="false">IF(통합데이터!D24="","",통합데이터!D24)</f>
        <v>20.7</v>
      </c>
      <c r="D22" s="16" t="n">
        <f aca="false">IF(통합데이터!G24="","",통합데이터!G24)</f>
        <v>15.1</v>
      </c>
      <c r="E22" s="16" t="n">
        <f aca="false">IF(통합데이터!J24="","",통합데이터!J24)</f>
        <v>19.3</v>
      </c>
      <c r="F22" s="16" t="n">
        <f aca="false">IF(COUNT(C22:E22)=3,AVERAGE(C22:E22),"")</f>
        <v>18.3666666666667</v>
      </c>
      <c r="G22" s="19" t="n">
        <f aca="false">IF(OR(C22="",E22=""),"",IF(C22=0,"",E22/C22))</f>
        <v>0.932367149758454</v>
      </c>
      <c r="H22" s="19" t="n">
        <f aca="false">IF(OR(D22="",E22=""),"",IF(D22=0,"",E22/D22))</f>
        <v>1.27814569536424</v>
      </c>
      <c r="I22" s="20" t="n">
        <f aca="false">IF(C22="","",RANK(C22,$C$5:$C$38))</f>
        <v>24</v>
      </c>
      <c r="J22" s="20" t="n">
        <f aca="false">IF(D22="","",RANK(D22,$D$5:$D$38))</f>
        <v>18</v>
      </c>
      <c r="K22" s="20" t="n">
        <f aca="false">IF(E22="","",RANK(E22,$E$5:$E$38))</f>
        <v>10</v>
      </c>
      <c r="L22" s="20" t="n">
        <f aca="false">IF(F22="","",RANK(F22,$F$5:$F$38))</f>
        <v>17</v>
      </c>
      <c r="M22" s="20" t="n">
        <f aca="false">IF(C22="","",RANK(C22,$C$5:$C$38)+COUNTIF($C$4:C21,C22))</f>
        <v>24</v>
      </c>
      <c r="N22" s="20" t="n">
        <f aca="false">IF(D22="","",RANK(D22,$D$5:$D$38)+COUNTIF($D$4:D21,D22))</f>
        <v>18</v>
      </c>
      <c r="O22" s="20" t="n">
        <f aca="false">IF(E22="","",RANK(E22,$E$5:$E$38)+COUNTIF($E$4:E21,E22))</f>
        <v>10</v>
      </c>
      <c r="P22" s="20" t="n">
        <f aca="false">IF(F22="","",RANK(F22,$F$5:$F$38)+COUNTIF($F$4:F21,F22))</f>
        <v>17</v>
      </c>
    </row>
    <row r="23" customFormat="false" ht="15" hidden="false" customHeight="false" outlineLevel="0" collapsed="false">
      <c r="A23" s="3" t="str">
        <f aca="false">통합데이터!A25</f>
        <v>온라인·디지털</v>
      </c>
      <c r="B23" s="3" t="str">
        <f aca="false">통합데이터!B25</f>
        <v>해당 제품/매장 웹사이트</v>
      </c>
      <c r="C23" s="16" t="n">
        <f aca="false">IF(통합데이터!D25="","",통합데이터!D25)</f>
        <v>15.9</v>
      </c>
      <c r="D23" s="16" t="n">
        <f aca="false">IF(통합데이터!G25="","",통합데이터!G25)</f>
        <v>11.8</v>
      </c>
      <c r="E23" s="16" t="n">
        <f aca="false">IF(통합데이터!J25="","",통합데이터!J25)</f>
        <v>8.5</v>
      </c>
      <c r="F23" s="16" t="n">
        <f aca="false">IF(COUNT(C23:E23)=3,AVERAGE(C23:E23),"")</f>
        <v>12.0666666666667</v>
      </c>
      <c r="G23" s="19" t="n">
        <f aca="false">IF(OR(C23="",E23=""),"",IF(C23=0,"",E23/C23))</f>
        <v>0.534591194968554</v>
      </c>
      <c r="H23" s="19" t="n">
        <f aca="false">IF(OR(D23="",E23=""),"",IF(D23=0,"",E23/D23))</f>
        <v>0.720338983050847</v>
      </c>
      <c r="I23" s="20" t="n">
        <f aca="false">IF(C23="","",RANK(C23,$C$5:$C$38))</f>
        <v>27</v>
      </c>
      <c r="J23" s="20" t="n">
        <f aca="false">IF(D23="","",RANK(D23,$D$5:$D$38))</f>
        <v>23</v>
      </c>
      <c r="K23" s="20" t="n">
        <f aca="false">IF(E23="","",RANK(E23,$E$5:$E$38))</f>
        <v>18</v>
      </c>
      <c r="L23" s="20" t="n">
        <f aca="false">IF(F23="","",RANK(F23,$F$5:$F$38))</f>
        <v>24</v>
      </c>
      <c r="M23" s="20" t="n">
        <f aca="false">IF(C23="","",RANK(C23,$C$5:$C$38)+COUNTIF($C$4:C22,C23))</f>
        <v>27</v>
      </c>
      <c r="N23" s="20" t="n">
        <f aca="false">IF(D23="","",RANK(D23,$D$5:$D$38)+COUNTIF($D$4:D22,D23))</f>
        <v>23</v>
      </c>
      <c r="O23" s="20" t="n">
        <f aca="false">IF(E23="","",RANK(E23,$E$5:$E$38)+COUNTIF($E$4:E22,E23))</f>
        <v>18</v>
      </c>
      <c r="P23" s="20" t="n">
        <f aca="false">IF(F23="","",RANK(F23,$F$5:$F$38)+COUNTIF($F$4:F22,F23))</f>
        <v>24</v>
      </c>
    </row>
    <row r="24" customFormat="false" ht="15" hidden="false" customHeight="false" outlineLevel="0" collapsed="false">
      <c r="A24" s="3" t="str">
        <f aca="false">통합데이터!A26</f>
        <v>온라인·디지털</v>
      </c>
      <c r="B24" s="3" t="str">
        <f aca="false">통합데이터!B26</f>
        <v>이메일 광고/뉴스레터 등</v>
      </c>
      <c r="C24" s="16" t="n">
        <f aca="false">IF(통합데이터!D26="","",통합데이터!D26)</f>
        <v>14</v>
      </c>
      <c r="D24" s="16" t="n">
        <f aca="false">IF(통합데이터!G26="","",통합데이터!G26)</f>
        <v>6.8</v>
      </c>
      <c r="E24" s="16" t="n">
        <f aca="false">IF(통합데이터!J26="","",통합데이터!J26)</f>
        <v>3.4</v>
      </c>
      <c r="F24" s="16" t="n">
        <f aca="false">IF(COUNT(C24:E24)=3,AVERAGE(C24:E24),"")</f>
        <v>8.06666666666667</v>
      </c>
      <c r="G24" s="19" t="n">
        <f aca="false">IF(OR(C24="",E24=""),"",IF(C24=0,"",E24/C24))</f>
        <v>0.242857142857143</v>
      </c>
      <c r="H24" s="19" t="n">
        <f aca="false">IF(OR(D24="",E24=""),"",IF(D24=0,"",E24/D24))</f>
        <v>0.5</v>
      </c>
      <c r="I24" s="20" t="n">
        <f aca="false">IF(C24="","",RANK(C24,$C$5:$C$38))</f>
        <v>30</v>
      </c>
      <c r="J24" s="20" t="n">
        <f aca="false">IF(D24="","",RANK(D24,$D$5:$D$38))</f>
        <v>34</v>
      </c>
      <c r="K24" s="20" t="n">
        <f aca="false">IF(E24="","",RANK(E24,$E$5:$E$38))</f>
        <v>33</v>
      </c>
      <c r="L24" s="20" t="n">
        <f aca="false">IF(F24="","",RANK(F24,$F$5:$F$38))</f>
        <v>33</v>
      </c>
      <c r="M24" s="20" t="n">
        <f aca="false">IF(C24="","",RANK(C24,$C$5:$C$38)+COUNTIF($C$4:C23,C24))</f>
        <v>30</v>
      </c>
      <c r="N24" s="20" t="n">
        <f aca="false">IF(D24="","",RANK(D24,$D$5:$D$38)+COUNTIF($D$4:D23,D24))</f>
        <v>34</v>
      </c>
      <c r="O24" s="20" t="n">
        <f aca="false">IF(E24="","",RANK(E24,$E$5:$E$38)+COUNTIF($E$4:E23,E24))</f>
        <v>34</v>
      </c>
      <c r="P24" s="20" t="n">
        <f aca="false">IF(F24="","",RANK(F24,$F$5:$F$38)+COUNTIF($F$4:F23,F24))</f>
        <v>33</v>
      </c>
    </row>
    <row r="25" customFormat="false" ht="15" hidden="false" customHeight="false" outlineLevel="0" collapsed="false">
      <c r="A25" s="3" t="str">
        <f aca="false">통합데이터!A27</f>
        <v>옥외·공간</v>
      </c>
      <c r="B25" s="3" t="str">
        <f aca="false">통합데이터!B27</f>
        <v>건물 외벽/옥상, 역사 및 정류장 광고</v>
      </c>
      <c r="C25" s="16" t="n">
        <f aca="false">IF(통합데이터!D27="","",통합데이터!D27)</f>
        <v>42</v>
      </c>
      <c r="D25" s="16" t="n">
        <f aca="false">IF(통합데이터!G27="","",통합데이터!G27)</f>
        <v>19</v>
      </c>
      <c r="E25" s="16" t="n">
        <f aca="false">IF(통합데이터!J27="","",통합데이터!J27)</f>
        <v>8.5</v>
      </c>
      <c r="F25" s="16" t="n">
        <f aca="false">IF(COUNT(C25:E25)=3,AVERAGE(C25:E25),"")</f>
        <v>23.1666666666667</v>
      </c>
      <c r="G25" s="19" t="n">
        <f aca="false">IF(OR(C25="",E25=""),"",IF(C25=0,"",E25/C25))</f>
        <v>0.202380952380952</v>
      </c>
      <c r="H25" s="19" t="n">
        <f aca="false">IF(OR(D25="",E25=""),"",IF(D25=0,"",E25/D25))</f>
        <v>0.447368421052632</v>
      </c>
      <c r="I25" s="20" t="n">
        <f aca="false">IF(C25="","",RANK(C25,$C$5:$C$38))</f>
        <v>4</v>
      </c>
      <c r="J25" s="20" t="n">
        <f aca="false">IF(D25="","",RANK(D25,$D$5:$D$38))</f>
        <v>13</v>
      </c>
      <c r="K25" s="20" t="n">
        <f aca="false">IF(E25="","",RANK(E25,$E$5:$E$38))</f>
        <v>18</v>
      </c>
      <c r="L25" s="20" t="n">
        <f aca="false">IF(F25="","",RANK(F25,$F$5:$F$38))</f>
        <v>11</v>
      </c>
      <c r="M25" s="20" t="n">
        <f aca="false">IF(C25="","",RANK(C25,$C$5:$C$38)+COUNTIF($C$4:C24,C25))</f>
        <v>4</v>
      </c>
      <c r="N25" s="20" t="n">
        <f aca="false">IF(D25="","",RANK(D25,$D$5:$D$38)+COUNTIF($D$4:D24,D25))</f>
        <v>13</v>
      </c>
      <c r="O25" s="20" t="n">
        <f aca="false">IF(E25="","",RANK(E25,$E$5:$E$38)+COUNTIF($E$4:E24,E25))</f>
        <v>19</v>
      </c>
      <c r="P25" s="20" t="n">
        <f aca="false">IF(F25="","",RANK(F25,$F$5:$F$38)+COUNTIF($F$4:F24,F25))</f>
        <v>11</v>
      </c>
    </row>
    <row r="26" customFormat="false" ht="15" hidden="false" customHeight="false" outlineLevel="0" collapsed="false">
      <c r="A26" s="3" t="str">
        <f aca="false">통합데이터!A28</f>
        <v>옥외·공간</v>
      </c>
      <c r="B26" s="3" t="str">
        <f aca="false">통합데이터!B28</f>
        <v>버스, 택시, 지하철 광고</v>
      </c>
      <c r="C26" s="16" t="n">
        <f aca="false">IF(통합데이터!D28="","",통합데이터!D28)</f>
        <v>36.5</v>
      </c>
      <c r="D26" s="16" t="n">
        <f aca="false">IF(통합데이터!G28="","",통합데이터!G28)</f>
        <v>16.2</v>
      </c>
      <c r="E26" s="16" t="n">
        <f aca="false">IF(통합데이터!J28="","",통합데이터!J28)</f>
        <v>7.2</v>
      </c>
      <c r="F26" s="16" t="n">
        <f aca="false">IF(COUNT(C26:E26)=3,AVERAGE(C26:E26),"")</f>
        <v>19.9666666666667</v>
      </c>
      <c r="G26" s="19" t="n">
        <f aca="false">IF(OR(C26="",E26=""),"",IF(C26=0,"",E26/C26))</f>
        <v>0.197260273972603</v>
      </c>
      <c r="H26" s="19" t="n">
        <f aca="false">IF(OR(D26="",E26=""),"",IF(D26=0,"",E26/D26))</f>
        <v>0.444444444444445</v>
      </c>
      <c r="I26" s="20" t="n">
        <f aca="false">IF(C26="","",RANK(C26,$C$5:$C$38))</f>
        <v>9</v>
      </c>
      <c r="J26" s="20" t="n">
        <f aca="false">IF(D26="","",RANK(D26,$D$5:$D$38))</f>
        <v>15</v>
      </c>
      <c r="K26" s="20" t="n">
        <f aca="false">IF(E26="","",RANK(E26,$E$5:$E$38))</f>
        <v>20</v>
      </c>
      <c r="L26" s="20" t="n">
        <f aca="false">IF(F26="","",RANK(F26,$F$5:$F$38))</f>
        <v>15</v>
      </c>
      <c r="M26" s="20" t="n">
        <f aca="false">IF(C26="","",RANK(C26,$C$5:$C$38)+COUNTIF($C$4:C25,C26))</f>
        <v>9</v>
      </c>
      <c r="N26" s="20" t="n">
        <f aca="false">IF(D26="","",RANK(D26,$D$5:$D$38)+COUNTIF($D$4:D25,D26))</f>
        <v>15</v>
      </c>
      <c r="O26" s="20" t="n">
        <f aca="false">IF(E26="","",RANK(E26,$E$5:$E$38)+COUNTIF($E$4:E25,E26))</f>
        <v>20</v>
      </c>
      <c r="P26" s="20" t="n">
        <f aca="false">IF(F26="","",RANK(F26,$F$5:$F$38)+COUNTIF($F$4:F25,F26))</f>
        <v>15</v>
      </c>
    </row>
    <row r="27" customFormat="false" ht="15" hidden="false" customHeight="false" outlineLevel="0" collapsed="false">
      <c r="A27" s="3" t="str">
        <f aca="false">통합데이터!A29</f>
        <v>옥외·공간</v>
      </c>
      <c r="B27" s="3" t="str">
        <f aca="false">통합데이터!B29</f>
        <v>영화관, 스포츠 경기장, 공연장 등 광고</v>
      </c>
      <c r="C27" s="16" t="n">
        <f aca="false">IF(통합데이터!D29="","",통합데이터!D29)</f>
        <v>32.8</v>
      </c>
      <c r="D27" s="16" t="n">
        <f aca="false">IF(통합데이터!G29="","",통합데이터!G29)</f>
        <v>22.5</v>
      </c>
      <c r="E27" s="16" t="n">
        <f aca="false">IF(통합데이터!J29="","",통합데이터!J29)</f>
        <v>9.2</v>
      </c>
      <c r="F27" s="16" t="n">
        <f aca="false">IF(COUNT(C27:E27)=3,AVERAGE(C27:E27),"")</f>
        <v>21.5</v>
      </c>
      <c r="G27" s="19" t="n">
        <f aca="false">IF(OR(C27="",E27=""),"",IF(C27=0,"",E27/C27))</f>
        <v>0.280487804878049</v>
      </c>
      <c r="H27" s="19" t="n">
        <f aca="false">IF(OR(D27="",E27=""),"",IF(D27=0,"",E27/D27))</f>
        <v>0.408888888888889</v>
      </c>
      <c r="I27" s="20" t="n">
        <f aca="false">IF(C27="","",RANK(C27,$C$5:$C$38))</f>
        <v>11</v>
      </c>
      <c r="J27" s="20" t="n">
        <f aca="false">IF(D27="","",RANK(D27,$D$5:$D$38))</f>
        <v>10</v>
      </c>
      <c r="K27" s="20" t="n">
        <f aca="false">IF(E27="","",RANK(E27,$E$5:$E$38))</f>
        <v>17</v>
      </c>
      <c r="L27" s="20" t="n">
        <f aca="false">IF(F27="","",RANK(F27,$F$5:$F$38))</f>
        <v>13</v>
      </c>
      <c r="M27" s="20" t="n">
        <f aca="false">IF(C27="","",RANK(C27,$C$5:$C$38)+COUNTIF($C$4:C26,C27))</f>
        <v>11</v>
      </c>
      <c r="N27" s="20" t="n">
        <f aca="false">IF(D27="","",RANK(D27,$D$5:$D$38)+COUNTIF($D$4:D26,D27))</f>
        <v>10</v>
      </c>
      <c r="O27" s="20" t="n">
        <f aca="false">IF(E27="","",RANK(E27,$E$5:$E$38)+COUNTIF($E$4:E26,E27))</f>
        <v>17</v>
      </c>
      <c r="P27" s="20" t="n">
        <f aca="false">IF(F27="","",RANK(F27,$F$5:$F$38)+COUNTIF($F$4:F26,F27))</f>
        <v>13</v>
      </c>
    </row>
    <row r="28" customFormat="false" ht="15" hidden="false" customHeight="false" outlineLevel="0" collapsed="false">
      <c r="A28" s="3" t="str">
        <f aca="false">통합데이터!A30</f>
        <v>매장·판촉</v>
      </c>
      <c r="B28" s="3" t="str">
        <f aca="false">통합데이터!B30</f>
        <v>매장 간판 및 외관 광고물</v>
      </c>
      <c r="C28" s="16" t="n">
        <f aca="false">IF(통합데이터!D30="","",통합데이터!D30)</f>
        <v>39.2</v>
      </c>
      <c r="D28" s="16" t="n">
        <f aca="false">IF(통합데이터!G30="","",통합데이터!G30)</f>
        <v>21.5</v>
      </c>
      <c r="E28" s="16" t="n">
        <f aca="false">IF(통합데이터!J30="","",통합데이터!J30)</f>
        <v>10.9</v>
      </c>
      <c r="F28" s="16" t="n">
        <f aca="false">IF(COUNT(C28:E28)=3,AVERAGE(C28:E28),"")</f>
        <v>23.8666666666667</v>
      </c>
      <c r="G28" s="19" t="n">
        <f aca="false">IF(OR(C28="",E28=""),"",IF(C28=0,"",E28/C28))</f>
        <v>0.278061224489796</v>
      </c>
      <c r="H28" s="19" t="n">
        <f aca="false">IF(OR(D28="",E28=""),"",IF(D28=0,"",E28/D28))</f>
        <v>0.506976744186047</v>
      </c>
      <c r="I28" s="20" t="n">
        <f aca="false">IF(C28="","",RANK(C28,$C$5:$C$38))</f>
        <v>6</v>
      </c>
      <c r="J28" s="20" t="n">
        <f aca="false">IF(D28="","",RANK(D28,$D$5:$D$38))</f>
        <v>11</v>
      </c>
      <c r="K28" s="20" t="n">
        <f aca="false">IF(E28="","",RANK(E28,$E$5:$E$38))</f>
        <v>15</v>
      </c>
      <c r="L28" s="20" t="n">
        <f aca="false">IF(F28="","",RANK(F28,$F$5:$F$38))</f>
        <v>10</v>
      </c>
      <c r="M28" s="20" t="n">
        <f aca="false">IF(C28="","",RANK(C28,$C$5:$C$38)+COUNTIF($C$4:C27,C28))</f>
        <v>6</v>
      </c>
      <c r="N28" s="20" t="n">
        <f aca="false">IF(D28="","",RANK(D28,$D$5:$D$38)+COUNTIF($D$4:D27,D28))</f>
        <v>11</v>
      </c>
      <c r="O28" s="20" t="n">
        <f aca="false">IF(E28="","",RANK(E28,$E$5:$E$38)+COUNTIF($E$4:E27,E28))</f>
        <v>15</v>
      </c>
      <c r="P28" s="20" t="n">
        <f aca="false">IF(F28="","",RANK(F28,$F$5:$F$38)+COUNTIF($F$4:F27,F28))</f>
        <v>10</v>
      </c>
    </row>
    <row r="29" customFormat="false" ht="15" hidden="false" customHeight="false" outlineLevel="0" collapsed="false">
      <c r="A29" s="3" t="str">
        <f aca="false">통합데이터!A31</f>
        <v>매장·판촉</v>
      </c>
      <c r="B29" s="3" t="str">
        <f aca="false">통합데이터!B31</f>
        <v>매장 내 광고(POP)</v>
      </c>
      <c r="C29" s="16" t="n">
        <f aca="false">IF(통합데이터!D31="","",통합데이터!D31)</f>
        <v>35.9</v>
      </c>
      <c r="D29" s="16" t="n">
        <f aca="false">IF(통합데이터!G31="","",통합데이터!G31)</f>
        <v>23.9</v>
      </c>
      <c r="E29" s="16" t="n">
        <f aca="false">IF(통합데이터!J31="","",통합데이터!J31)</f>
        <v>14.7</v>
      </c>
      <c r="F29" s="16" t="n">
        <f aca="false">IF(COUNT(C29:E29)=3,AVERAGE(C29:E29),"")</f>
        <v>24.8333333333333</v>
      </c>
      <c r="G29" s="19" t="n">
        <f aca="false">IF(OR(C29="",E29=""),"",IF(C29=0,"",E29/C29))</f>
        <v>0.409470752089136</v>
      </c>
      <c r="H29" s="19" t="n">
        <f aca="false">IF(OR(D29="",E29=""),"",IF(D29=0,"",E29/D29))</f>
        <v>0.615062761506276</v>
      </c>
      <c r="I29" s="20" t="n">
        <f aca="false">IF(C29="","",RANK(C29,$C$5:$C$38))</f>
        <v>10</v>
      </c>
      <c r="J29" s="20" t="n">
        <f aca="false">IF(D29="","",RANK(D29,$D$5:$D$38))</f>
        <v>9</v>
      </c>
      <c r="K29" s="20" t="n">
        <f aca="false">IF(E29="","",RANK(E29,$E$5:$E$38))</f>
        <v>12</v>
      </c>
      <c r="L29" s="20" t="n">
        <f aca="false">IF(F29="","",RANK(F29,$F$5:$F$38))</f>
        <v>9</v>
      </c>
      <c r="M29" s="20" t="n">
        <f aca="false">IF(C29="","",RANK(C29,$C$5:$C$38)+COUNTIF($C$4:C28,C29))</f>
        <v>10</v>
      </c>
      <c r="N29" s="20" t="n">
        <f aca="false">IF(D29="","",RANK(D29,$D$5:$D$38)+COUNTIF($D$4:D28,D29))</f>
        <v>9</v>
      </c>
      <c r="O29" s="20" t="n">
        <f aca="false">IF(E29="","",RANK(E29,$E$5:$E$38)+COUNTIF($E$4:E28,E29))</f>
        <v>12</v>
      </c>
      <c r="P29" s="20" t="n">
        <f aca="false">IF(F29="","",RANK(F29,$F$5:$F$38)+COUNTIF($F$4:F28,F29))</f>
        <v>9</v>
      </c>
    </row>
    <row r="30" customFormat="false" ht="15" hidden="false" customHeight="false" outlineLevel="0" collapsed="false">
      <c r="A30" s="3" t="str">
        <f aca="false">통합데이터!A32</f>
        <v>매장·판촉</v>
      </c>
      <c r="B30" s="3" t="str">
        <f aca="false">통합데이터!B32</f>
        <v>판매원(점원) 추천</v>
      </c>
      <c r="C30" s="16" t="n">
        <f aca="false">IF(통합데이터!D32="","",통합데이터!D32)</f>
        <v>37.5</v>
      </c>
      <c r="D30" s="16" t="n">
        <f aca="false">IF(통합데이터!G32="","",통합데이터!G32)</f>
        <v>27.7</v>
      </c>
      <c r="E30" s="16" t="n">
        <f aca="false">IF(통합데이터!J32="","",통합데이터!J32)</f>
        <v>41.2</v>
      </c>
      <c r="F30" s="16" t="n">
        <f aca="false">IF(COUNT(C30:E30)=3,AVERAGE(C30:E30),"")</f>
        <v>35.4666666666667</v>
      </c>
      <c r="G30" s="19" t="n">
        <f aca="false">IF(OR(C30="",E30=""),"",IF(C30=0,"",E30/C30))</f>
        <v>1.09866666666667</v>
      </c>
      <c r="H30" s="19" t="n">
        <f aca="false">IF(OR(D30="",E30=""),"",IF(D30=0,"",E30/D30))</f>
        <v>1.48736462093863</v>
      </c>
      <c r="I30" s="20" t="n">
        <f aca="false">IF(C30="","",RANK(C30,$C$5:$C$38))</f>
        <v>7</v>
      </c>
      <c r="J30" s="20" t="n">
        <f aca="false">IF(D30="","",RANK(D30,$D$5:$D$38))</f>
        <v>5</v>
      </c>
      <c r="K30" s="20" t="n">
        <f aca="false">IF(E30="","",RANK(E30,$E$5:$E$38))</f>
        <v>3</v>
      </c>
      <c r="L30" s="20" t="n">
        <f aca="false">IF(F30="","",RANK(F30,$F$5:$F$38))</f>
        <v>4</v>
      </c>
      <c r="M30" s="20" t="n">
        <f aca="false">IF(C30="","",RANK(C30,$C$5:$C$38)+COUNTIF($C$4:C29,C30))</f>
        <v>7</v>
      </c>
      <c r="N30" s="20" t="n">
        <f aca="false">IF(D30="","",RANK(D30,$D$5:$D$38)+COUNTIF($D$4:D29,D30))</f>
        <v>5</v>
      </c>
      <c r="O30" s="20" t="n">
        <f aca="false">IF(E30="","",RANK(E30,$E$5:$E$38)+COUNTIF($E$4:E29,E30))</f>
        <v>3</v>
      </c>
      <c r="P30" s="20" t="n">
        <f aca="false">IF(F30="","",RANK(F30,$F$5:$F$38)+COUNTIF($F$4:F29,F30))</f>
        <v>4</v>
      </c>
    </row>
    <row r="31" customFormat="false" ht="15" hidden="false" customHeight="false" outlineLevel="0" collapsed="false">
      <c r="A31" s="3" t="str">
        <f aca="false">통합데이터!A33</f>
        <v>매장·판촉</v>
      </c>
      <c r="B31" s="3" t="str">
        <f aca="false">통합데이터!B33</f>
        <v>샘플/구매 사은품</v>
      </c>
      <c r="C31" s="16" t="n">
        <f aca="false">IF(통합데이터!D33="","",통합데이터!D33)</f>
        <v>26.1</v>
      </c>
      <c r="D31" s="16" t="n">
        <f aca="false">IF(통합데이터!G33="","",통합데이터!G33)</f>
        <v>26.7</v>
      </c>
      <c r="E31" s="16" t="n">
        <f aca="false">IF(통합데이터!J33="","",통합데이터!J33)</f>
        <v>29.1</v>
      </c>
      <c r="F31" s="16" t="n">
        <f aca="false">IF(COUNT(C31:E31)=3,AVERAGE(C31:E31),"")</f>
        <v>27.3</v>
      </c>
      <c r="G31" s="19" t="n">
        <f aca="false">IF(OR(C31="",E31=""),"",IF(C31=0,"",E31/C31))</f>
        <v>1.11494252873563</v>
      </c>
      <c r="H31" s="19" t="n">
        <f aca="false">IF(OR(D31="",E31=""),"",IF(D31=0,"",E31/D31))</f>
        <v>1.08988764044944</v>
      </c>
      <c r="I31" s="20" t="n">
        <f aca="false">IF(C31="","",RANK(C31,$C$5:$C$38))</f>
        <v>14</v>
      </c>
      <c r="J31" s="20" t="n">
        <f aca="false">IF(D31="","",RANK(D31,$D$5:$D$38))</f>
        <v>6</v>
      </c>
      <c r="K31" s="20" t="n">
        <f aca="false">IF(E31="","",RANK(E31,$E$5:$E$38))</f>
        <v>5</v>
      </c>
      <c r="L31" s="20" t="n">
        <f aca="false">IF(F31="","",RANK(F31,$F$5:$F$38))</f>
        <v>7</v>
      </c>
      <c r="M31" s="20" t="n">
        <f aca="false">IF(C31="","",RANK(C31,$C$5:$C$38)+COUNTIF($C$4:C30,C31))</f>
        <v>14</v>
      </c>
      <c r="N31" s="20" t="n">
        <f aca="false">IF(D31="","",RANK(D31,$D$5:$D$38)+COUNTIF($D$4:D30,D31))</f>
        <v>6</v>
      </c>
      <c r="O31" s="20" t="n">
        <f aca="false">IF(E31="","",RANK(E31,$E$5:$E$38)+COUNTIF($E$4:E30,E31))</f>
        <v>5</v>
      </c>
      <c r="P31" s="20" t="n">
        <f aca="false">IF(F31="","",RANK(F31,$F$5:$F$38)+COUNTIF($F$4:F30,F31))</f>
        <v>7</v>
      </c>
    </row>
    <row r="32" customFormat="false" ht="15" hidden="false" customHeight="false" outlineLevel="0" collapsed="false">
      <c r="A32" s="3" t="str">
        <f aca="false">통합데이터!A34</f>
        <v>매장·판촉</v>
      </c>
      <c r="B32" s="3" t="str">
        <f aca="false">통합데이터!B34</f>
        <v>쿠폰/프로모션 등 행사 및 이벤트</v>
      </c>
      <c r="C32" s="16" t="n">
        <f aca="false">IF(통합데이터!D34="","",통합데이터!D34)</f>
        <v>25.6</v>
      </c>
      <c r="D32" s="16" t="n">
        <f aca="false">IF(통합데이터!G34="","",통합데이터!G34)</f>
        <v>26.1</v>
      </c>
      <c r="E32" s="16" t="n">
        <f aca="false">IF(통합데이터!J34="","",통합데이터!J34)</f>
        <v>26.4</v>
      </c>
      <c r="F32" s="16" t="n">
        <f aca="false">IF(COUNT(C32:E32)=3,AVERAGE(C32:E32),"")</f>
        <v>26.0333333333333</v>
      </c>
      <c r="G32" s="19" t="n">
        <f aca="false">IF(OR(C32="",E32=""),"",IF(C32=0,"",E32/C32))</f>
        <v>1.03125</v>
      </c>
      <c r="H32" s="19" t="n">
        <f aca="false">IF(OR(D32="",E32=""),"",IF(D32=0,"",E32/D32))</f>
        <v>1.01149425287356</v>
      </c>
      <c r="I32" s="20" t="n">
        <f aca="false">IF(C32="","",RANK(C32,$C$5:$C$38))</f>
        <v>16</v>
      </c>
      <c r="J32" s="20" t="n">
        <f aca="false">IF(D32="","",RANK(D32,$D$5:$D$38))</f>
        <v>7</v>
      </c>
      <c r="K32" s="20" t="n">
        <f aca="false">IF(E32="","",RANK(E32,$E$5:$E$38))</f>
        <v>6</v>
      </c>
      <c r="L32" s="20" t="n">
        <f aca="false">IF(F32="","",RANK(F32,$F$5:$F$38))</f>
        <v>8</v>
      </c>
      <c r="M32" s="20" t="n">
        <f aca="false">IF(C32="","",RANK(C32,$C$5:$C$38)+COUNTIF($C$4:C31,C32))</f>
        <v>17</v>
      </c>
      <c r="N32" s="20" t="n">
        <f aca="false">IF(D32="","",RANK(D32,$D$5:$D$38)+COUNTIF($D$4:D31,D32))</f>
        <v>8</v>
      </c>
      <c r="O32" s="20" t="n">
        <f aca="false">IF(E32="","",RANK(E32,$E$5:$E$38)+COUNTIF($E$4:E31,E32))</f>
        <v>6</v>
      </c>
      <c r="P32" s="20" t="n">
        <f aca="false">IF(F32="","",RANK(F32,$F$5:$F$38)+COUNTIF($F$4:F31,F32))</f>
        <v>8</v>
      </c>
    </row>
    <row r="33" customFormat="false" ht="15" hidden="false" customHeight="false" outlineLevel="0" collapsed="false">
      <c r="A33" s="3" t="str">
        <f aca="false">통합데이터!A35</f>
        <v>매장·판촉</v>
      </c>
      <c r="B33" s="3" t="str">
        <f aca="false">통합데이터!B35</f>
        <v>매장 내 진열제품 및 제품정보</v>
      </c>
      <c r="C33" s="16" t="n">
        <f aca="false">IF(통합데이터!D35="","",통합데이터!D35)</f>
        <v>39.5</v>
      </c>
      <c r="D33" s="16" t="n">
        <f aca="false">IF(통합데이터!G35="","",통합데이터!G35)</f>
        <v>34.9</v>
      </c>
      <c r="E33" s="16" t="n">
        <f aca="false">IF(통합데이터!J35="","",통합데이터!J35)</f>
        <v>33.3</v>
      </c>
      <c r="F33" s="16" t="n">
        <f aca="false">IF(COUNT(C33:E33)=3,AVERAGE(C33:E33),"")</f>
        <v>35.9</v>
      </c>
      <c r="G33" s="19" t="n">
        <f aca="false">IF(OR(C33="",E33=""),"",IF(C33=0,"",E33/C33))</f>
        <v>0.843037974683544</v>
      </c>
      <c r="H33" s="19" t="n">
        <f aca="false">IF(OR(D33="",E33=""),"",IF(D33=0,"",E33/D33))</f>
        <v>0.954154727793696</v>
      </c>
      <c r="I33" s="20" t="n">
        <f aca="false">IF(C33="","",RANK(C33,$C$5:$C$38))</f>
        <v>5</v>
      </c>
      <c r="J33" s="20" t="n">
        <f aca="false">IF(D33="","",RANK(D33,$D$5:$D$38))</f>
        <v>4</v>
      </c>
      <c r="K33" s="20" t="n">
        <f aca="false">IF(E33="","",RANK(E33,$E$5:$E$38))</f>
        <v>4</v>
      </c>
      <c r="L33" s="20" t="n">
        <f aca="false">IF(F33="","",RANK(F33,$F$5:$F$38))</f>
        <v>3</v>
      </c>
      <c r="M33" s="20" t="n">
        <f aca="false">IF(C33="","",RANK(C33,$C$5:$C$38)+COUNTIF($C$4:C32,C33))</f>
        <v>5</v>
      </c>
      <c r="N33" s="20" t="n">
        <f aca="false">IF(D33="","",RANK(D33,$D$5:$D$38)+COUNTIF($D$4:D32,D33))</f>
        <v>4</v>
      </c>
      <c r="O33" s="20" t="n">
        <f aca="false">IF(E33="","",RANK(E33,$E$5:$E$38)+COUNTIF($E$4:E32,E33))</f>
        <v>4</v>
      </c>
      <c r="P33" s="20" t="n">
        <f aca="false">IF(F33="","",RANK(F33,$F$5:$F$38)+COUNTIF($F$4:F32,F33))</f>
        <v>3</v>
      </c>
    </row>
    <row r="34" customFormat="false" ht="15" hidden="false" customHeight="false" outlineLevel="0" collapsed="false">
      <c r="A34" s="3" t="str">
        <f aca="false">통합데이터!A36</f>
        <v>구전</v>
      </c>
      <c r="B34" s="3" t="str">
        <f aca="false">통합데이터!B36</f>
        <v>주변사람(친구/가족/동료)의 추천</v>
      </c>
      <c r="C34" s="16" t="n">
        <f aca="false">IF(통합데이터!D36="","",통합데이터!D36)</f>
        <v>55.8</v>
      </c>
      <c r="D34" s="16" t="n">
        <f aca="false">IF(통합데이터!G36="","",통합데이터!G36)</f>
        <v>44</v>
      </c>
      <c r="E34" s="16" t="n">
        <f aca="false">IF(통합데이터!J36="","",통합데이터!J36)</f>
        <v>60.4</v>
      </c>
      <c r="F34" s="16" t="n">
        <f aca="false">IF(COUNT(C34:E34)=3,AVERAGE(C34:E34),"")</f>
        <v>53.4</v>
      </c>
      <c r="G34" s="19" t="n">
        <f aca="false">IF(OR(C34="",E34=""),"",IF(C34=0,"",E34/C34))</f>
        <v>1.08243727598566</v>
      </c>
      <c r="H34" s="19" t="n">
        <f aca="false">IF(OR(D34="",E34=""),"",IF(D34=0,"",E34/D34))</f>
        <v>1.37272727272727</v>
      </c>
      <c r="I34" s="20" t="n">
        <f aca="false">IF(C34="","",RANK(C34,$C$5:$C$38))</f>
        <v>2</v>
      </c>
      <c r="J34" s="20" t="n">
        <f aca="false">IF(D34="","",RANK(D34,$D$5:$D$38))</f>
        <v>2</v>
      </c>
      <c r="K34" s="20" t="n">
        <f aca="false">IF(E34="","",RANK(E34,$E$5:$E$38))</f>
        <v>1</v>
      </c>
      <c r="L34" s="20" t="n">
        <f aca="false">IF(F34="","",RANK(F34,$F$5:$F$38))</f>
        <v>2</v>
      </c>
      <c r="M34" s="20" t="n">
        <f aca="false">IF(C34="","",RANK(C34,$C$5:$C$38)+COUNTIF($C$4:C33,C34))</f>
        <v>2</v>
      </c>
      <c r="N34" s="20" t="n">
        <f aca="false">IF(D34="","",RANK(D34,$D$5:$D$38)+COUNTIF($D$4:D33,D34))</f>
        <v>2</v>
      </c>
      <c r="O34" s="20" t="n">
        <f aca="false">IF(E34="","",RANK(E34,$E$5:$E$38)+COUNTIF($E$4:E33,E34))</f>
        <v>1</v>
      </c>
      <c r="P34" s="20" t="n">
        <f aca="false">IF(F34="","",RANK(F34,$F$5:$F$38)+COUNTIF($F$4:F33,F34))</f>
        <v>2</v>
      </c>
    </row>
    <row r="35" customFormat="false" ht="15" hidden="false" customHeight="false" outlineLevel="0" collapsed="false">
      <c r="A35" s="3" t="str">
        <f aca="false">통합데이터!A37</f>
        <v>기업활동·후원</v>
      </c>
      <c r="B35" s="3" t="str">
        <f aca="false">통합데이터!B37</f>
        <v>회사의 사회공헌 및 기여활동</v>
      </c>
      <c r="C35" s="16" t="n">
        <f aca="false">IF(통합데이터!D37="","",통합데이터!D37)</f>
        <v>14.1</v>
      </c>
      <c r="D35" s="16" t="n">
        <f aca="false">IF(통합데이터!G37="","",통합데이터!G37)</f>
        <v>12.3</v>
      </c>
      <c r="E35" s="16" t="n">
        <f aca="false">IF(통합데이터!J37="","",통합데이터!J37)</f>
        <v>6.2</v>
      </c>
      <c r="F35" s="16" t="n">
        <f aca="false">IF(COUNT(C35:E35)=3,AVERAGE(C35:E35),"")</f>
        <v>10.8666666666667</v>
      </c>
      <c r="G35" s="19" t="n">
        <f aca="false">IF(OR(C35="",E35=""),"",IF(C35=0,"",E35/C35))</f>
        <v>0.439716312056738</v>
      </c>
      <c r="H35" s="19" t="n">
        <f aca="false">IF(OR(D35="",E35=""),"",IF(D35=0,"",E35/D35))</f>
        <v>0.504065040650407</v>
      </c>
      <c r="I35" s="20" t="n">
        <f aca="false">IF(C35="","",RANK(C35,$C$5:$C$38))</f>
        <v>29</v>
      </c>
      <c r="J35" s="20" t="n">
        <f aca="false">IF(D35="","",RANK(D35,$D$5:$D$38))</f>
        <v>21</v>
      </c>
      <c r="K35" s="20" t="n">
        <f aca="false">IF(E35="","",RANK(E35,$E$5:$E$38))</f>
        <v>21</v>
      </c>
      <c r="L35" s="20" t="n">
        <f aca="false">IF(F35="","",RANK(F35,$F$5:$F$38))</f>
        <v>28</v>
      </c>
      <c r="M35" s="20" t="n">
        <f aca="false">IF(C35="","",RANK(C35,$C$5:$C$38)+COUNTIF($C$4:C34,C35))</f>
        <v>29</v>
      </c>
      <c r="N35" s="20" t="n">
        <f aca="false">IF(D35="","",RANK(D35,$D$5:$D$38)+COUNTIF($D$4:D34,D35))</f>
        <v>21</v>
      </c>
      <c r="O35" s="20" t="n">
        <f aca="false">IF(E35="","",RANK(E35,$E$5:$E$38)+COUNTIF($E$4:E34,E35))</f>
        <v>22</v>
      </c>
      <c r="P35" s="20" t="n">
        <f aca="false">IF(F35="","",RANK(F35,$F$5:$F$38)+COUNTIF($F$4:F34,F35))</f>
        <v>28</v>
      </c>
    </row>
    <row r="36" customFormat="false" ht="15" hidden="false" customHeight="false" outlineLevel="0" collapsed="false">
      <c r="A36" s="3" t="str">
        <f aca="false">통합데이터!A38</f>
        <v>기업활동·후원</v>
      </c>
      <c r="B36" s="3" t="str">
        <f aca="false">통합데이터!B38</f>
        <v>게임 또는 스포츠 팀 후원</v>
      </c>
      <c r="C36" s="16" t="str">
        <f aca="false">IF(통합데이터!D38="","",통합데이터!D38)</f>
        <v/>
      </c>
      <c r="D36" s="16" t="n">
        <f aca="false">IF(통합데이터!G38="","",통합데이터!G38)</f>
        <v>10.3</v>
      </c>
      <c r="E36" s="16" t="n">
        <f aca="false">IF(통합데이터!J38="","",통합데이터!J38)</f>
        <v>3.8</v>
      </c>
      <c r="F36" s="16" t="str">
        <f aca="false">IF(COUNT(C36:E36)=3,AVERAGE(C36:E36),"")</f>
        <v/>
      </c>
      <c r="G36" s="19" t="str">
        <f aca="false">IF(OR(C36="",E36=""),"",IF(C36=0,"",E36/C36))</f>
        <v/>
      </c>
      <c r="H36" s="19" t="n">
        <f aca="false">IF(OR(D36="",E36=""),"",IF(D36=0,"",E36/D36))</f>
        <v>0.368932038834951</v>
      </c>
      <c r="I36" s="20" t="str">
        <f aca="false">IF(C36="","",RANK(C36,$C$5:$C$38))</f>
        <v/>
      </c>
      <c r="J36" s="20" t="n">
        <f aca="false">IF(D36="","",RANK(D36,$D$5:$D$38))</f>
        <v>26</v>
      </c>
      <c r="K36" s="20" t="n">
        <f aca="false">IF(E36="","",RANK(E36,$E$5:$E$38))</f>
        <v>31</v>
      </c>
      <c r="L36" s="20" t="str">
        <f aca="false">IF(F36="","",RANK(F36,$F$5:$F$38))</f>
        <v/>
      </c>
      <c r="M36" s="20" t="str">
        <f aca="false">IF(C36="","",RANK(C36,$C$5:$C$38)+COUNTIF($C$4:C35,C36))</f>
        <v/>
      </c>
      <c r="N36" s="20" t="n">
        <f aca="false">IF(D36="","",RANK(D36,$D$5:$D$38)+COUNTIF($D$4:D35,D36))</f>
        <v>26</v>
      </c>
      <c r="O36" s="20" t="n">
        <f aca="false">IF(E36="","",RANK(E36,$E$5:$E$38)+COUNTIF($E$4:E35,E36))</f>
        <v>31</v>
      </c>
      <c r="P36" s="20" t="str">
        <f aca="false">IF(F36="","",RANK(F36,$F$5:$F$38)+COUNTIF($F$4:F35,F36))</f>
        <v/>
      </c>
    </row>
    <row r="37" customFormat="false" ht="15" hidden="false" customHeight="false" outlineLevel="0" collapsed="false">
      <c r="A37" s="3" t="str">
        <f aca="false">통합데이터!A39</f>
        <v>기업활동·후원</v>
      </c>
      <c r="B37" s="3" t="str">
        <f aca="false">통합데이터!B39</f>
        <v>TV프로그램/영화 제작 투자</v>
      </c>
      <c r="C37" s="16" t="n">
        <f aca="false">IF(통합데이터!D39="","",통합데이터!D39)</f>
        <v>12.5</v>
      </c>
      <c r="D37" s="16" t="n">
        <f aca="false">IF(통합데이터!G39="","",통합데이터!G39)</f>
        <v>11.4</v>
      </c>
      <c r="E37" s="16" t="n">
        <f aca="false">IF(통합데이터!J39="","",통합데이터!J39)</f>
        <v>3.6</v>
      </c>
      <c r="F37" s="16" t="n">
        <f aca="false">IF(COUNT(C37:E37)=3,AVERAGE(C37:E37),"")</f>
        <v>9.16666666666667</v>
      </c>
      <c r="G37" s="19" t="n">
        <f aca="false">IF(OR(C37="",E37=""),"",IF(C37=0,"",E37/C37))</f>
        <v>0.288</v>
      </c>
      <c r="H37" s="19" t="n">
        <f aca="false">IF(OR(D37="",E37=""),"",IF(D37=0,"",E37/D37))</f>
        <v>0.315789473684211</v>
      </c>
      <c r="I37" s="20" t="n">
        <f aca="false">IF(C37="","",RANK(C37,$C$5:$C$38))</f>
        <v>32</v>
      </c>
      <c r="J37" s="20" t="n">
        <f aca="false">IF(D37="","",RANK(D37,$D$5:$D$38))</f>
        <v>24</v>
      </c>
      <c r="K37" s="20" t="n">
        <f aca="false">IF(E37="","",RANK(E37,$E$5:$E$38))</f>
        <v>32</v>
      </c>
      <c r="L37" s="20" t="n">
        <f aca="false">IF(F37="","",RANK(F37,$F$5:$F$38))</f>
        <v>30</v>
      </c>
      <c r="M37" s="20" t="n">
        <f aca="false">IF(C37="","",RANK(C37,$C$5:$C$38)+COUNTIF($C$4:C36,C37))</f>
        <v>32</v>
      </c>
      <c r="N37" s="20" t="n">
        <f aca="false">IF(D37="","",RANK(D37,$D$5:$D$38)+COUNTIF($D$4:D36,D37))</f>
        <v>24</v>
      </c>
      <c r="O37" s="20" t="n">
        <f aca="false">IF(E37="","",RANK(E37,$E$5:$E$38)+COUNTIF($E$4:E36,E37))</f>
        <v>32</v>
      </c>
      <c r="P37" s="20" t="n">
        <f aca="false">IF(F37="","",RANK(F37,$F$5:$F$38)+COUNTIF($F$4:F36,F37))</f>
        <v>30</v>
      </c>
    </row>
    <row r="38" customFormat="false" ht="15" hidden="false" customHeight="false" outlineLevel="0" collapsed="false">
      <c r="A38" s="3" t="str">
        <f aca="false">통합데이터!A40</f>
        <v>기업활동·후원</v>
      </c>
      <c r="B38" s="3" t="str">
        <f aca="false">통합데이터!B40</f>
        <v>신제품발표회/무역박람회/전시회</v>
      </c>
      <c r="C38" s="16" t="n">
        <f aca="false">IF(통합데이터!D40="","",통합데이터!D40)</f>
        <v>10.4</v>
      </c>
      <c r="D38" s="16" t="n">
        <f aca="false">IF(통합데이터!G40="","",통합데이터!G40)</f>
        <v>9.9</v>
      </c>
      <c r="E38" s="16" t="n">
        <f aca="false">IF(통합데이터!J40="","",통합데이터!J40)</f>
        <v>4</v>
      </c>
      <c r="F38" s="16" t="n">
        <f aca="false">IF(COUNT(C38:E38)=3,AVERAGE(C38:E38),"")</f>
        <v>8.1</v>
      </c>
      <c r="G38" s="19" t="n">
        <f aca="false">IF(OR(C38="",E38=""),"",IF(C38=0,"",E38/C38))</f>
        <v>0.384615384615385</v>
      </c>
      <c r="H38" s="19" t="n">
        <f aca="false">IF(OR(D38="",E38=""),"",IF(D38=0,"",E38/D38))</f>
        <v>0.404040404040404</v>
      </c>
      <c r="I38" s="20" t="n">
        <f aca="false">IF(C38="","",RANK(C38,$C$5:$C$38))</f>
        <v>33</v>
      </c>
      <c r="J38" s="20" t="n">
        <f aca="false">IF(D38="","",RANK(D38,$D$5:$D$38))</f>
        <v>27</v>
      </c>
      <c r="K38" s="20" t="n">
        <f aca="false">IF(E38="","",RANK(E38,$E$5:$E$38))</f>
        <v>30</v>
      </c>
      <c r="L38" s="20" t="n">
        <f aca="false">IF(F38="","",RANK(F38,$F$5:$F$38))</f>
        <v>32</v>
      </c>
      <c r="M38" s="20" t="n">
        <f aca="false">IF(C38="","",RANK(C38,$C$5:$C$38)+COUNTIF($C$4:C37,C38))</f>
        <v>33</v>
      </c>
      <c r="N38" s="20" t="n">
        <f aca="false">IF(D38="","",RANK(D38,$D$5:$D$38)+COUNTIF($D$4:D37,D38))</f>
        <v>27</v>
      </c>
      <c r="O38" s="20" t="n">
        <f aca="false">IF(E38="","",RANK(E38,$E$5:$E$38)+COUNTIF($E$4:E37,E38))</f>
        <v>30</v>
      </c>
      <c r="P38" s="20" t="n">
        <f aca="false">IF(F38="","",RANK(F38,$F$5:$F$38)+COUNTIF($F$4:F37,F38))</f>
        <v>32</v>
      </c>
    </row>
    <row r="40" customFormat="false" ht="15" hidden="false" customHeight="false" outlineLevel="0" collapsed="false">
      <c r="A40" s="6" t="s">
        <v>93</v>
      </c>
    </row>
  </sheetData>
  <conditionalFormatting sqref="C5:C38">
    <cfRule type="expression" priority="2" aboveAverage="0" equalAverage="0" bottom="0" percent="0" rank="0" text="" dxfId="0">
      <formula>AND(ISNUMBER(I5),I5&lt;=5)</formula>
    </cfRule>
  </conditionalFormatting>
  <conditionalFormatting sqref="D5:D38">
    <cfRule type="expression" priority="3" aboveAverage="0" equalAverage="0" bottom="0" percent="0" rank="0" text="" dxfId="0">
      <formula>AND(ISNUMBER(J5),J5&lt;=5)</formula>
    </cfRule>
  </conditionalFormatting>
  <conditionalFormatting sqref="E5:E38">
    <cfRule type="expression" priority="4" aboveAverage="0" equalAverage="0" bottom="0" percent="0" rank="0" text="" dxfId="0">
      <formula>AND(ISNUMBER(K5),K5&lt;=5)</formula>
    </cfRule>
  </conditionalFormatting>
  <conditionalFormatting sqref="F5:F38">
    <cfRule type="expression" priority="5" aboveAverage="0" equalAverage="0" bottom="0" percent="0" rank="0" text="" dxfId="0">
      <formula>AND(ISNUMBER(L5),L5&lt;=5)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6" min="3" style="0" width="11"/>
  </cols>
  <sheetData>
    <row r="1" customFormat="false" ht="21.6" hidden="false" customHeight="false" outlineLevel="0" collapsed="false">
      <c r="A1" s="17" t="s">
        <v>95</v>
      </c>
    </row>
    <row r="2" customFormat="false" ht="15" hidden="false" customHeight="false" outlineLevel="0" collapsed="false">
      <c r="A2" s="6" t="s">
        <v>78</v>
      </c>
    </row>
    <row r="4" customFormat="false" ht="31.5" hidden="false" customHeight="true" outlineLevel="0" collapsed="false">
      <c r="A4" s="7" t="s">
        <v>27</v>
      </c>
      <c r="B4" s="7" t="s">
        <v>28</v>
      </c>
      <c r="C4" s="7" t="s">
        <v>79</v>
      </c>
      <c r="D4" s="7" t="s">
        <v>80</v>
      </c>
      <c r="E4" s="7" t="s">
        <v>81</v>
      </c>
      <c r="F4" s="18" t="s">
        <v>82</v>
      </c>
      <c r="G4" s="7" t="s">
        <v>83</v>
      </c>
      <c r="H4" s="7" t="s">
        <v>84</v>
      </c>
      <c r="I4" s="7" t="s">
        <v>85</v>
      </c>
      <c r="J4" s="7" t="s">
        <v>86</v>
      </c>
      <c r="K4" s="7" t="s">
        <v>87</v>
      </c>
      <c r="L4" s="7" t="s">
        <v>88</v>
      </c>
      <c r="M4" s="7" t="s">
        <v>89</v>
      </c>
      <c r="N4" s="7" t="s">
        <v>90</v>
      </c>
      <c r="O4" s="7" t="s">
        <v>91</v>
      </c>
      <c r="P4" s="7" t="s">
        <v>92</v>
      </c>
    </row>
    <row r="5" customFormat="false" ht="15" hidden="false" customHeight="false" outlineLevel="0" collapsed="false">
      <c r="A5" s="3" t="str">
        <f aca="false">통합데이터!A7</f>
        <v>TV·라디오</v>
      </c>
      <c r="B5" s="3" t="str">
        <f aca="false">통합데이터!B7</f>
        <v>TV 광고</v>
      </c>
      <c r="C5" s="16" t="n">
        <f aca="false">IF(통합데이터!E7="","",통합데이터!E7)</f>
        <v>82.3</v>
      </c>
      <c r="D5" s="16" t="n">
        <f aca="false">IF(통합데이터!H7="","",통합데이터!H7)</f>
        <v>58.4</v>
      </c>
      <c r="E5" s="16" t="n">
        <f aca="false">IF(통합데이터!K7="","",통합데이터!K7)</f>
        <v>47.1</v>
      </c>
      <c r="F5" s="16" t="n">
        <f aca="false">IF(COUNT(C5:E5)=3,AVERAGE(C5:E5),"")</f>
        <v>62.6</v>
      </c>
      <c r="G5" s="19" t="n">
        <f aca="false">IF(OR(C5="",E5=""),"",IF(C5=0,"",E5/C5))</f>
        <v>0.572296476306197</v>
      </c>
      <c r="H5" s="19" t="n">
        <f aca="false">IF(OR(D5="",E5=""),"",IF(D5=0,"",E5/D5))</f>
        <v>0.806506849315069</v>
      </c>
      <c r="I5" s="20" t="n">
        <f aca="false">IF(C5="","",RANK(C5,$C$5:$C$38))</f>
        <v>1</v>
      </c>
      <c r="J5" s="20" t="n">
        <f aca="false">IF(D5="","",RANK(D5,$D$5:$D$38))</f>
        <v>1</v>
      </c>
      <c r="K5" s="20" t="n">
        <f aca="false">IF(E5="","",RANK(E5,$E$5:$E$38))</f>
        <v>2</v>
      </c>
      <c r="L5" s="20" t="n">
        <f aca="false">IF(F5="","",RANK(F5,$F$5:$F$38))</f>
        <v>1</v>
      </c>
      <c r="M5" s="20" t="n">
        <f aca="false">IF(C5="","",RANK(C5,$C$5:$C$38)+COUNTIF($C$4:C4,C5))</f>
        <v>1</v>
      </c>
      <c r="N5" s="20" t="n">
        <f aca="false">IF(D5="","",RANK(D5,$D$5:$D$38)+COUNTIF($D$4:D4,D5))</f>
        <v>1</v>
      </c>
      <c r="O5" s="20" t="n">
        <f aca="false">IF(E5="","",RANK(E5,$E$5:$E$38)+COUNTIF($E$4:E4,E5))</f>
        <v>2</v>
      </c>
      <c r="P5" s="20" t="n">
        <f aca="false">IF(F5="","",RANK(F5,$F$5:$F$38)+COUNTIF($F$4:F4,F5))</f>
        <v>1</v>
      </c>
    </row>
    <row r="6" customFormat="false" ht="15" hidden="false" customHeight="false" outlineLevel="0" collapsed="false">
      <c r="A6" s="3" t="str">
        <f aca="false">통합데이터!A8</f>
        <v>TV·라디오</v>
      </c>
      <c r="B6" s="3" t="str">
        <f aca="false">통합데이터!B8</f>
        <v>드라마 등 TV프로그램 속 간접광고(PPL)</v>
      </c>
      <c r="C6" s="16" t="n">
        <f aca="false">IF(통합데이터!E8="","",통합데이터!E8)</f>
        <v>42.4</v>
      </c>
      <c r="D6" s="16" t="n">
        <f aca="false">IF(통합데이터!H8="","",통합데이터!H8)</f>
        <v>34.8</v>
      </c>
      <c r="E6" s="16" t="n">
        <f aca="false">IF(통합데이터!K8="","",통합데이터!K8)</f>
        <v>17.1</v>
      </c>
      <c r="F6" s="16" t="n">
        <f aca="false">IF(COUNT(C6:E6)=3,AVERAGE(C6:E6),"")</f>
        <v>31.4333333333333</v>
      </c>
      <c r="G6" s="19" t="n">
        <f aca="false">IF(OR(C6="",E6=""),"",IF(C6=0,"",E6/C6))</f>
        <v>0.403301886792453</v>
      </c>
      <c r="H6" s="19" t="n">
        <f aca="false">IF(OR(D6="",E6=""),"",IF(D6=0,"",E6/D6))</f>
        <v>0.491379310344828</v>
      </c>
      <c r="I6" s="20" t="n">
        <f aca="false">IF(C6="","",RANK(C6,$C$5:$C$38))</f>
        <v>7</v>
      </c>
      <c r="J6" s="20" t="n">
        <f aca="false">IF(D6="","",RANK(D6,$D$5:$D$38))</f>
        <v>4</v>
      </c>
      <c r="K6" s="20" t="n">
        <f aca="false">IF(E6="","",RANK(E6,$E$5:$E$38))</f>
        <v>11</v>
      </c>
      <c r="L6" s="20" t="n">
        <f aca="false">IF(F6="","",RANK(F6,$F$5:$F$38))</f>
        <v>5</v>
      </c>
      <c r="M6" s="20" t="n">
        <f aca="false">IF(C6="","",RANK(C6,$C$5:$C$38)+COUNTIF($C$4:C5,C6))</f>
        <v>7</v>
      </c>
      <c r="N6" s="20" t="n">
        <f aca="false">IF(D6="","",RANK(D6,$D$5:$D$38)+COUNTIF($D$4:D5,D6))</f>
        <v>4</v>
      </c>
      <c r="O6" s="20" t="n">
        <f aca="false">IF(E6="","",RANK(E6,$E$5:$E$38)+COUNTIF($E$4:E5,E6))</f>
        <v>11</v>
      </c>
      <c r="P6" s="20" t="n">
        <f aca="false">IF(F6="","",RANK(F6,$F$5:$F$38)+COUNTIF($F$4:F5,F6))</f>
        <v>5</v>
      </c>
    </row>
    <row r="7" customFormat="false" ht="15" hidden="false" customHeight="false" outlineLevel="0" collapsed="false">
      <c r="A7" s="3" t="str">
        <f aca="false">통합데이터!A9</f>
        <v>TV·라디오</v>
      </c>
      <c r="B7" s="3" t="str">
        <f aca="false">통합데이터!B9</f>
        <v>라디오 광고</v>
      </c>
      <c r="C7" s="16" t="n">
        <f aca="false">IF(통합데이터!E9="","",통합데이터!E9)</f>
        <v>25.7</v>
      </c>
      <c r="D7" s="16" t="n">
        <f aca="false">IF(통합데이터!H9="","",통합데이터!H9)</f>
        <v>10.1</v>
      </c>
      <c r="E7" s="16" t="n">
        <f aca="false">IF(통합데이터!K9="","",통합데이터!K9)</f>
        <v>6.1</v>
      </c>
      <c r="F7" s="16" t="n">
        <f aca="false">IF(COUNT(C7:E7)=3,AVERAGE(C7:E7),"")</f>
        <v>13.9666666666667</v>
      </c>
      <c r="G7" s="19" t="n">
        <f aca="false">IF(OR(C7="",E7=""),"",IF(C7=0,"",E7/C7))</f>
        <v>0.237354085603113</v>
      </c>
      <c r="H7" s="19" t="n">
        <f aca="false">IF(OR(D7="",E7=""),"",IF(D7=0,"",E7/D7))</f>
        <v>0.603960396039604</v>
      </c>
      <c r="I7" s="20" t="n">
        <f aca="false">IF(C7="","",RANK(C7,$C$5:$C$38))</f>
        <v>18</v>
      </c>
      <c r="J7" s="20" t="n">
        <f aca="false">IF(D7="","",RANK(D7,$D$5:$D$38))</f>
        <v>24</v>
      </c>
      <c r="K7" s="20" t="n">
        <f aca="false">IF(E7="","",RANK(E7,$E$5:$E$38))</f>
        <v>22</v>
      </c>
      <c r="L7" s="20" t="n">
        <f aca="false">IF(F7="","",RANK(F7,$F$5:$F$38))</f>
        <v>21</v>
      </c>
      <c r="M7" s="20" t="n">
        <f aca="false">IF(C7="","",RANK(C7,$C$5:$C$38)+COUNTIF($C$4:C6,C7))</f>
        <v>18</v>
      </c>
      <c r="N7" s="20" t="n">
        <f aca="false">IF(D7="","",RANK(D7,$D$5:$D$38)+COUNTIF($D$4:D6,D7))</f>
        <v>24</v>
      </c>
      <c r="O7" s="20" t="n">
        <f aca="false">IF(E7="","",RANK(E7,$E$5:$E$38)+COUNTIF($E$4:E6,E7))</f>
        <v>22</v>
      </c>
      <c r="P7" s="20" t="n">
        <f aca="false">IF(F7="","",RANK(F7,$F$5:$F$38)+COUNTIF($F$4:F6,F7))</f>
        <v>21</v>
      </c>
    </row>
    <row r="8" customFormat="false" ht="15" hidden="false" customHeight="false" outlineLevel="0" collapsed="false">
      <c r="A8" s="3" t="str">
        <f aca="false">통합데이터!A10</f>
        <v>인쇄·DM</v>
      </c>
      <c r="B8" s="3" t="str">
        <f aca="false">통합데이터!B10</f>
        <v>신문 광고</v>
      </c>
      <c r="C8" s="16" t="n">
        <f aca="false">IF(통합데이터!E10="","",통합데이터!E10)</f>
        <v>18.3</v>
      </c>
      <c r="D8" s="16" t="n">
        <f aca="false">IF(통합데이터!H10="","",통합데이터!H10)</f>
        <v>7.3</v>
      </c>
      <c r="E8" s="16" t="n">
        <f aca="false">IF(통합데이터!K10="","",통합데이터!K10)</f>
        <v>4</v>
      </c>
      <c r="F8" s="16" t="n">
        <f aca="false">IF(COUNT(C8:E8)=3,AVERAGE(C8:E8),"")</f>
        <v>9.86666666666667</v>
      </c>
      <c r="G8" s="19" t="n">
        <f aca="false">IF(OR(C8="",E8=""),"",IF(C8=0,"",E8/C8))</f>
        <v>0.218579234972678</v>
      </c>
      <c r="H8" s="19" t="n">
        <f aca="false">IF(OR(D8="",E8=""),"",IF(D8=0,"",E8/D8))</f>
        <v>0.547945205479452</v>
      </c>
      <c r="I8" s="20" t="n">
        <f aca="false">IF(C8="","",RANK(C8,$C$5:$C$38))</f>
        <v>25</v>
      </c>
      <c r="J8" s="20" t="n">
        <f aca="false">IF(D8="","",RANK(D8,$D$5:$D$38))</f>
        <v>30</v>
      </c>
      <c r="K8" s="20" t="n">
        <f aca="false">IF(E8="","",RANK(E8,$E$5:$E$38))</f>
        <v>27</v>
      </c>
      <c r="L8" s="20" t="n">
        <f aca="false">IF(F8="","",RANK(F8,$F$5:$F$38))</f>
        <v>27</v>
      </c>
      <c r="M8" s="20" t="n">
        <f aca="false">IF(C8="","",RANK(C8,$C$5:$C$38)+COUNTIF($C$4:C7,C8))</f>
        <v>25</v>
      </c>
      <c r="N8" s="20" t="n">
        <f aca="false">IF(D8="","",RANK(D8,$D$5:$D$38)+COUNTIF($D$4:D7,D8))</f>
        <v>30</v>
      </c>
      <c r="O8" s="20" t="n">
        <f aca="false">IF(E8="","",RANK(E8,$E$5:$E$38)+COUNTIF($E$4:E7,E8))</f>
        <v>27</v>
      </c>
      <c r="P8" s="20" t="n">
        <f aca="false">IF(F8="","",RANK(F8,$F$5:$F$38)+COUNTIF($F$4:F7,F8))</f>
        <v>27</v>
      </c>
    </row>
    <row r="9" customFormat="false" ht="15" hidden="false" customHeight="false" outlineLevel="0" collapsed="false">
      <c r="A9" s="3" t="str">
        <f aca="false">통합데이터!A11</f>
        <v>인쇄·DM</v>
      </c>
      <c r="B9" s="3" t="str">
        <f aca="false">통합데이터!B11</f>
        <v>신문 기사</v>
      </c>
      <c r="C9" s="16" t="n">
        <f aca="false">IF(통합데이터!E11="","",통합데이터!E11)</f>
        <v>13</v>
      </c>
      <c r="D9" s="16" t="n">
        <f aca="false">IF(통합데이터!H11="","",통합데이터!H11)</f>
        <v>6.8</v>
      </c>
      <c r="E9" s="16" t="n">
        <f aca="false">IF(통합데이터!K11="","",통합데이터!K11)</f>
        <v>4.2</v>
      </c>
      <c r="F9" s="16" t="n">
        <f aca="false">IF(COUNT(C9:E9)=3,AVERAGE(C9:E9),"")</f>
        <v>8</v>
      </c>
      <c r="G9" s="19" t="n">
        <f aca="false">IF(OR(C9="",E9=""),"",IF(C9=0,"",E9/C9))</f>
        <v>0.323076923076923</v>
      </c>
      <c r="H9" s="19" t="n">
        <f aca="false">IF(OR(D9="",E9=""),"",IF(D9=0,"",E9/D9))</f>
        <v>0.617647058823529</v>
      </c>
      <c r="I9" s="20" t="n">
        <f aca="false">IF(C9="","",RANK(C9,$C$5:$C$38))</f>
        <v>28</v>
      </c>
      <c r="J9" s="20" t="n">
        <f aca="false">IF(D9="","",RANK(D9,$D$5:$D$38))</f>
        <v>32</v>
      </c>
      <c r="K9" s="20" t="n">
        <f aca="false">IF(E9="","",RANK(E9,$E$5:$E$38))</f>
        <v>26</v>
      </c>
      <c r="L9" s="20" t="n">
        <f aca="false">IF(F9="","",RANK(F9,$F$5:$F$38))</f>
        <v>30</v>
      </c>
      <c r="M9" s="20" t="n">
        <f aca="false">IF(C9="","",RANK(C9,$C$5:$C$38)+COUNTIF($C$4:C8,C9))</f>
        <v>28</v>
      </c>
      <c r="N9" s="20" t="n">
        <f aca="false">IF(D9="","",RANK(D9,$D$5:$D$38)+COUNTIF($D$4:D8,D9))</f>
        <v>32</v>
      </c>
      <c r="O9" s="20" t="n">
        <f aca="false">IF(E9="","",RANK(E9,$E$5:$E$38)+COUNTIF($E$4:E8,E9))</f>
        <v>26</v>
      </c>
      <c r="P9" s="20" t="n">
        <f aca="false">IF(F9="","",RANK(F9,$F$5:$F$38)+COUNTIF($F$4:F8,F9))</f>
        <v>30</v>
      </c>
    </row>
    <row r="10" customFormat="false" ht="15" hidden="false" customHeight="false" outlineLevel="0" collapsed="false">
      <c r="A10" s="3" t="str">
        <f aca="false">통합데이터!A12</f>
        <v>인쇄·DM</v>
      </c>
      <c r="B10" s="3" t="str">
        <f aca="false">통합데이터!B12</f>
        <v>잡지 광고</v>
      </c>
      <c r="C10" s="16" t="n">
        <f aca="false">IF(통합데이터!E12="","",통합데이터!E12)</f>
        <v>16.6</v>
      </c>
      <c r="D10" s="16" t="n">
        <f aca="false">IF(통합데이터!H12="","",통합데이터!H12)</f>
        <v>14.4</v>
      </c>
      <c r="E10" s="16" t="n">
        <f aca="false">IF(통합데이터!K12="","",통합데이터!K12)</f>
        <v>5</v>
      </c>
      <c r="F10" s="16" t="n">
        <f aca="false">IF(COUNT(C10:E10)=3,AVERAGE(C10:E10),"")</f>
        <v>12</v>
      </c>
      <c r="G10" s="19" t="n">
        <f aca="false">IF(OR(C10="",E10=""),"",IF(C10=0,"",E10/C10))</f>
        <v>0.301204819277108</v>
      </c>
      <c r="H10" s="19" t="n">
        <f aca="false">IF(OR(D10="",E10=""),"",IF(D10=0,"",E10/D10))</f>
        <v>0.347222222222222</v>
      </c>
      <c r="I10" s="20" t="n">
        <f aca="false">IF(C10="","",RANK(C10,$C$5:$C$38))</f>
        <v>26</v>
      </c>
      <c r="J10" s="20" t="n">
        <f aca="false">IF(D10="","",RANK(D10,$D$5:$D$38))</f>
        <v>19</v>
      </c>
      <c r="K10" s="20" t="n">
        <f aca="false">IF(E10="","",RANK(E10,$E$5:$E$38))</f>
        <v>24</v>
      </c>
      <c r="L10" s="20" t="n">
        <f aca="false">IF(F10="","",RANK(F10,$F$5:$F$38))</f>
        <v>24</v>
      </c>
      <c r="M10" s="20" t="n">
        <f aca="false">IF(C10="","",RANK(C10,$C$5:$C$38)+COUNTIF($C$4:C9,C10))</f>
        <v>26</v>
      </c>
      <c r="N10" s="20" t="n">
        <f aca="false">IF(D10="","",RANK(D10,$D$5:$D$38)+COUNTIF($D$4:D9,D10))</f>
        <v>19</v>
      </c>
      <c r="O10" s="20" t="n">
        <f aca="false">IF(E10="","",RANK(E10,$E$5:$E$38)+COUNTIF($E$4:E9,E10))</f>
        <v>24</v>
      </c>
      <c r="P10" s="20" t="n">
        <f aca="false">IF(F10="","",RANK(F10,$F$5:$F$38)+COUNTIF($F$4:F9,F10))</f>
        <v>24</v>
      </c>
    </row>
    <row r="11" customFormat="false" ht="15" hidden="false" customHeight="false" outlineLevel="0" collapsed="false">
      <c r="A11" s="3" t="str">
        <f aca="false">통합데이터!A13</f>
        <v>인쇄·DM</v>
      </c>
      <c r="B11" s="3" t="str">
        <f aca="false">통합데이터!B13</f>
        <v>잡지 기사</v>
      </c>
      <c r="C11" s="16" t="n">
        <f aca="false">IF(통합데이터!E13="","",통합데이터!E13)</f>
        <v>11</v>
      </c>
      <c r="D11" s="16" t="n">
        <f aca="false">IF(통합데이터!H13="","",통합데이터!H13)</f>
        <v>8.8</v>
      </c>
      <c r="E11" s="16" t="n">
        <f aca="false">IF(통합데이터!K13="","",통합데이터!K13)</f>
        <v>4.7</v>
      </c>
      <c r="F11" s="16" t="n">
        <f aca="false">IF(COUNT(C11:E11)=3,AVERAGE(C11:E11),"")</f>
        <v>8.16666666666667</v>
      </c>
      <c r="G11" s="19" t="n">
        <f aca="false">IF(OR(C11="",E11=""),"",IF(C11=0,"",E11/C11))</f>
        <v>0.427272727272727</v>
      </c>
      <c r="H11" s="19" t="n">
        <f aca="false">IF(OR(D11="",E11=""),"",IF(D11=0,"",E11/D11))</f>
        <v>0.534090909090909</v>
      </c>
      <c r="I11" s="20" t="n">
        <f aca="false">IF(C11="","",RANK(C11,$C$5:$C$38))</f>
        <v>32</v>
      </c>
      <c r="J11" s="20" t="n">
        <f aca="false">IF(D11="","",RANK(D11,$D$5:$D$38))</f>
        <v>27</v>
      </c>
      <c r="K11" s="20" t="n">
        <f aca="false">IF(E11="","",RANK(E11,$E$5:$E$38))</f>
        <v>25</v>
      </c>
      <c r="L11" s="20" t="n">
        <f aca="false">IF(F11="","",RANK(F11,$F$5:$F$38))</f>
        <v>29</v>
      </c>
      <c r="M11" s="20" t="n">
        <f aca="false">IF(C11="","",RANK(C11,$C$5:$C$38)+COUNTIF($C$4:C10,C11))</f>
        <v>32</v>
      </c>
      <c r="N11" s="20" t="n">
        <f aca="false">IF(D11="","",RANK(D11,$D$5:$D$38)+COUNTIF($D$4:D10,D11))</f>
        <v>27</v>
      </c>
      <c r="O11" s="20" t="n">
        <f aca="false">IF(E11="","",RANK(E11,$E$5:$E$38)+COUNTIF($E$4:E10,E11))</f>
        <v>25</v>
      </c>
      <c r="P11" s="20" t="n">
        <f aca="false">IF(F11="","",RANK(F11,$F$5:$F$38)+COUNTIF($F$4:F10,F11))</f>
        <v>29</v>
      </c>
    </row>
    <row r="12" customFormat="false" ht="15" hidden="false" customHeight="false" outlineLevel="0" collapsed="false">
      <c r="A12" s="3" t="str">
        <f aca="false">통합데이터!A14</f>
        <v>인쇄·DM</v>
      </c>
      <c r="B12" s="3" t="str">
        <f aca="false">통합데이터!B14</f>
        <v>제품 카달로그/전단지</v>
      </c>
      <c r="C12" s="16" t="n">
        <f aca="false">IF(통합데이터!E14="","",통합데이터!E14)</f>
        <v>41.5</v>
      </c>
      <c r="D12" s="16" t="n">
        <f aca="false">IF(통합데이터!H14="","",통합데이터!H14)</f>
        <v>26.7</v>
      </c>
      <c r="E12" s="16" t="n">
        <f aca="false">IF(통합데이터!K14="","",통합데이터!K14)</f>
        <v>19.6</v>
      </c>
      <c r="F12" s="16" t="n">
        <f aca="false">IF(COUNT(C12:E12)=3,AVERAGE(C12:E12),"")</f>
        <v>29.2666666666667</v>
      </c>
      <c r="G12" s="19" t="n">
        <f aca="false">IF(OR(C12="",E12=""),"",IF(C12=0,"",E12/C12))</f>
        <v>0.472289156626506</v>
      </c>
      <c r="H12" s="19" t="n">
        <f aca="false">IF(OR(D12="",E12=""),"",IF(D12=0,"",E12/D12))</f>
        <v>0.734082397003745</v>
      </c>
      <c r="I12" s="20" t="n">
        <f aca="false">IF(C12="","",RANK(C12,$C$5:$C$38))</f>
        <v>8</v>
      </c>
      <c r="J12" s="20" t="n">
        <f aca="false">IF(D12="","",RANK(D12,$D$5:$D$38))</f>
        <v>8</v>
      </c>
      <c r="K12" s="20" t="n">
        <f aca="false">IF(E12="","",RANK(E12,$E$5:$E$38))</f>
        <v>9</v>
      </c>
      <c r="L12" s="20" t="n">
        <f aca="false">IF(F12="","",RANK(F12,$F$5:$F$38))</f>
        <v>8</v>
      </c>
      <c r="M12" s="20" t="n">
        <f aca="false">IF(C12="","",RANK(C12,$C$5:$C$38)+COUNTIF($C$4:C11,C12))</f>
        <v>8</v>
      </c>
      <c r="N12" s="20" t="n">
        <f aca="false">IF(D12="","",RANK(D12,$D$5:$D$38)+COUNTIF($D$4:D11,D12))</f>
        <v>8</v>
      </c>
      <c r="O12" s="20" t="n">
        <f aca="false">IF(E12="","",RANK(E12,$E$5:$E$38)+COUNTIF($E$4:E11,E12))</f>
        <v>9</v>
      </c>
      <c r="P12" s="20" t="n">
        <f aca="false">IF(F12="","",RANK(F12,$F$5:$F$38)+COUNTIF($F$4:F11,F12))</f>
        <v>8</v>
      </c>
    </row>
    <row r="13" customFormat="false" ht="15" hidden="false" customHeight="false" outlineLevel="0" collapsed="false">
      <c r="A13" s="3" t="str">
        <f aca="false">통합데이터!A15</f>
        <v>인쇄·DM</v>
      </c>
      <c r="B13" s="3" t="str">
        <f aca="false">통합데이터!B15</f>
        <v>광고 우편물/명세서 등</v>
      </c>
      <c r="C13" s="16" t="n">
        <f aca="false">IF(통합데이터!E15="","",통합데이터!E15)</f>
        <v>26.9</v>
      </c>
      <c r="D13" s="16" t="n">
        <f aca="false">IF(통합데이터!H15="","",통합데이터!H15)</f>
        <v>11.6</v>
      </c>
      <c r="E13" s="16" t="n">
        <f aca="false">IF(통합데이터!K15="","",통합데이터!K15)</f>
        <v>7.7</v>
      </c>
      <c r="F13" s="16" t="n">
        <f aca="false">IF(COUNT(C13:E13)=3,AVERAGE(C13:E13),"")</f>
        <v>15.4</v>
      </c>
      <c r="G13" s="19" t="n">
        <f aca="false">IF(OR(C13="",E13=""),"",IF(C13=0,"",E13/C13))</f>
        <v>0.286245353159851</v>
      </c>
      <c r="H13" s="19" t="n">
        <f aca="false">IF(OR(D13="",E13=""),"",IF(D13=0,"",E13/D13))</f>
        <v>0.663793103448276</v>
      </c>
      <c r="I13" s="20" t="n">
        <f aca="false">IF(C13="","",RANK(C13,$C$5:$C$38))</f>
        <v>17</v>
      </c>
      <c r="J13" s="20" t="n">
        <f aca="false">IF(D13="","",RANK(D13,$D$5:$D$38))</f>
        <v>23</v>
      </c>
      <c r="K13" s="20" t="n">
        <f aca="false">IF(E13="","",RANK(E13,$E$5:$E$38))</f>
        <v>17</v>
      </c>
      <c r="L13" s="20" t="n">
        <f aca="false">IF(F13="","",RANK(F13,$F$5:$F$38))</f>
        <v>19</v>
      </c>
      <c r="M13" s="20" t="n">
        <f aca="false">IF(C13="","",RANK(C13,$C$5:$C$38)+COUNTIF($C$4:C12,C13))</f>
        <v>17</v>
      </c>
      <c r="N13" s="20" t="n">
        <f aca="false">IF(D13="","",RANK(D13,$D$5:$D$38)+COUNTIF($D$4:D12,D13))</f>
        <v>23</v>
      </c>
      <c r="O13" s="20" t="n">
        <f aca="false">IF(E13="","",RANK(E13,$E$5:$E$38)+COUNTIF($E$4:E12,E13))</f>
        <v>17</v>
      </c>
      <c r="P13" s="20" t="n">
        <f aca="false">IF(F13="","",RANK(F13,$F$5:$F$38)+COUNTIF($F$4:F12,F13))</f>
        <v>19</v>
      </c>
    </row>
    <row r="14" customFormat="false" ht="15" hidden="false" customHeight="false" outlineLevel="0" collapsed="false">
      <c r="A14" s="3" t="str">
        <f aca="false">통합데이터!A16</f>
        <v>온라인·디지털</v>
      </c>
      <c r="B14" s="3" t="str">
        <f aca="false">통합데이터!B16</f>
        <v>배너 광고</v>
      </c>
      <c r="C14" s="16" t="n">
        <f aca="false">IF(통합데이터!E16="","",통합데이터!E16)</f>
        <v>23.5</v>
      </c>
      <c r="D14" s="16" t="n">
        <f aca="false">IF(통합데이터!H16="","",통합데이터!H16)</f>
        <v>7.7</v>
      </c>
      <c r="E14" s="16" t="n">
        <f aca="false">IF(통합데이터!K16="","",통합데이터!K16)</f>
        <v>3.5</v>
      </c>
      <c r="F14" s="16" t="n">
        <f aca="false">IF(COUNT(C14:E14)=3,AVERAGE(C14:E14),"")</f>
        <v>11.5666666666667</v>
      </c>
      <c r="G14" s="19" t="n">
        <f aca="false">IF(OR(C14="",E14=""),"",IF(C14=0,"",E14/C14))</f>
        <v>0.148936170212766</v>
      </c>
      <c r="H14" s="19" t="n">
        <f aca="false">IF(OR(D14="",E14=""),"",IF(D14=0,"",E14/D14))</f>
        <v>0.454545454545455</v>
      </c>
      <c r="I14" s="20" t="n">
        <f aca="false">IF(C14="","",RANK(C14,$C$5:$C$38))</f>
        <v>20</v>
      </c>
      <c r="J14" s="20" t="n">
        <f aca="false">IF(D14="","",RANK(D14,$D$5:$D$38))</f>
        <v>29</v>
      </c>
      <c r="K14" s="20" t="n">
        <f aca="false">IF(E14="","",RANK(E14,$E$5:$E$38))</f>
        <v>29</v>
      </c>
      <c r="L14" s="20" t="n">
        <f aca="false">IF(F14="","",RANK(F14,$F$5:$F$38))</f>
        <v>25</v>
      </c>
      <c r="M14" s="20" t="n">
        <f aca="false">IF(C14="","",RANK(C14,$C$5:$C$38)+COUNTIF($C$4:C13,C14))</f>
        <v>20</v>
      </c>
      <c r="N14" s="20" t="n">
        <f aca="false">IF(D14="","",RANK(D14,$D$5:$D$38)+COUNTIF($D$4:D13,D14))</f>
        <v>29</v>
      </c>
      <c r="O14" s="20" t="n">
        <f aca="false">IF(E14="","",RANK(E14,$E$5:$E$38)+COUNTIF($E$4:E13,E14))</f>
        <v>29</v>
      </c>
      <c r="P14" s="20" t="n">
        <f aca="false">IF(F14="","",RANK(F14,$F$5:$F$38)+COUNTIF($F$4:F13,F14))</f>
        <v>25</v>
      </c>
    </row>
    <row r="15" customFormat="false" ht="15" hidden="false" customHeight="false" outlineLevel="0" collapsed="false">
      <c r="A15" s="3" t="str">
        <f aca="false">통합데이터!A17</f>
        <v>온라인·디지털</v>
      </c>
      <c r="B15" s="3" t="str">
        <f aca="false">통합데이터!B17</f>
        <v>팝업 광고</v>
      </c>
      <c r="C15" s="16" t="n">
        <f aca="false">IF(통합데이터!E17="","",통합데이터!E17)</f>
        <v>20.4</v>
      </c>
      <c r="D15" s="16" t="n">
        <f aca="false">IF(통합데이터!H17="","",통합데이터!H17)</f>
        <v>7.1</v>
      </c>
      <c r="E15" s="16" t="n">
        <f aca="false">IF(통합데이터!K17="","",통합데이터!K17)</f>
        <v>3</v>
      </c>
      <c r="F15" s="16" t="n">
        <f aca="false">IF(COUNT(C15:E15)=3,AVERAGE(C15:E15),"")</f>
        <v>10.1666666666667</v>
      </c>
      <c r="G15" s="19" t="n">
        <f aca="false">IF(OR(C15="",E15=""),"",IF(C15=0,"",E15/C15))</f>
        <v>0.147058823529412</v>
      </c>
      <c r="H15" s="19" t="n">
        <f aca="false">IF(OR(D15="",E15=""),"",IF(D15=0,"",E15/D15))</f>
        <v>0.422535211267606</v>
      </c>
      <c r="I15" s="20" t="n">
        <f aca="false">IF(C15="","",RANK(C15,$C$5:$C$38))</f>
        <v>24</v>
      </c>
      <c r="J15" s="20" t="n">
        <f aca="false">IF(D15="","",RANK(D15,$D$5:$D$38))</f>
        <v>31</v>
      </c>
      <c r="K15" s="20" t="n">
        <f aca="false">IF(E15="","",RANK(E15,$E$5:$E$38))</f>
        <v>30</v>
      </c>
      <c r="L15" s="20" t="n">
        <f aca="false">IF(F15="","",RANK(F15,$F$5:$F$38))</f>
        <v>26</v>
      </c>
      <c r="M15" s="20" t="n">
        <f aca="false">IF(C15="","",RANK(C15,$C$5:$C$38)+COUNTIF($C$4:C14,C15))</f>
        <v>24</v>
      </c>
      <c r="N15" s="20" t="n">
        <f aca="false">IF(D15="","",RANK(D15,$D$5:$D$38)+COUNTIF($D$4:D14,D15))</f>
        <v>31</v>
      </c>
      <c r="O15" s="20" t="n">
        <f aca="false">IF(E15="","",RANK(E15,$E$5:$E$38)+COUNTIF($E$4:E14,E15))</f>
        <v>30</v>
      </c>
      <c r="P15" s="20" t="n">
        <f aca="false">IF(F15="","",RANK(F15,$F$5:$F$38)+COUNTIF($F$4:F14,F15))</f>
        <v>26</v>
      </c>
    </row>
    <row r="16" customFormat="false" ht="15" hidden="false" customHeight="false" outlineLevel="0" collapsed="false">
      <c r="A16" s="3" t="str">
        <f aca="false">통합데이터!A18</f>
        <v>온라인·디지털</v>
      </c>
      <c r="B16" s="3" t="str">
        <f aca="false">통합데이터!B18</f>
        <v>동영상 광고 (동영상 재생 전후 등)</v>
      </c>
      <c r="C16" s="16" t="n">
        <f aca="false">IF(통합데이터!E18="","",통합데이터!E18)</f>
        <v>23.5</v>
      </c>
      <c r="D16" s="16" t="n">
        <f aca="false">IF(통합데이터!H18="","",통합데이터!H18)</f>
        <v>13.4</v>
      </c>
      <c r="E16" s="16" t="n">
        <f aca="false">IF(통합데이터!K18="","",통합데이터!K18)</f>
        <v>6</v>
      </c>
      <c r="F16" s="16" t="n">
        <f aca="false">IF(COUNT(C16:E16)=3,AVERAGE(C16:E16),"")</f>
        <v>14.3</v>
      </c>
      <c r="G16" s="19" t="n">
        <f aca="false">IF(OR(C16="",E16=""),"",IF(C16=0,"",E16/C16))</f>
        <v>0.25531914893617</v>
      </c>
      <c r="H16" s="19" t="n">
        <f aca="false">IF(OR(D16="",E16=""),"",IF(D16=0,"",E16/D16))</f>
        <v>0.447761194029851</v>
      </c>
      <c r="I16" s="20" t="n">
        <f aca="false">IF(C16="","",RANK(C16,$C$5:$C$38))</f>
        <v>20</v>
      </c>
      <c r="J16" s="20" t="n">
        <f aca="false">IF(D16="","",RANK(D16,$D$5:$D$38))</f>
        <v>20</v>
      </c>
      <c r="K16" s="20" t="n">
        <f aca="false">IF(E16="","",RANK(E16,$E$5:$E$38))</f>
        <v>23</v>
      </c>
      <c r="L16" s="20" t="n">
        <f aca="false">IF(F16="","",RANK(F16,$F$5:$F$38))</f>
        <v>20</v>
      </c>
      <c r="M16" s="20" t="n">
        <f aca="false">IF(C16="","",RANK(C16,$C$5:$C$38)+COUNTIF($C$4:C15,C16))</f>
        <v>21</v>
      </c>
      <c r="N16" s="20" t="n">
        <f aca="false">IF(D16="","",RANK(D16,$D$5:$D$38)+COUNTIF($D$4:D15,D16))</f>
        <v>20</v>
      </c>
      <c r="O16" s="20" t="n">
        <f aca="false">IF(E16="","",RANK(E16,$E$5:$E$38)+COUNTIF($E$4:E15,E16))</f>
        <v>23</v>
      </c>
      <c r="P16" s="20" t="n">
        <f aca="false">IF(F16="","",RANK(F16,$F$5:$F$38)+COUNTIF($F$4:F15,F16))</f>
        <v>20</v>
      </c>
    </row>
    <row r="17" customFormat="false" ht="15" hidden="false" customHeight="false" outlineLevel="0" collapsed="false">
      <c r="A17" s="3" t="str">
        <f aca="false">통합데이터!A19</f>
        <v>온라인·디지털</v>
      </c>
      <c r="B17" s="3" t="str">
        <f aca="false">통합데이터!B19</f>
        <v>검색어/키워드 광고</v>
      </c>
      <c r="C17" s="16" t="n">
        <f aca="false">IF(통합데이터!E19="","",통합데이터!E19)</f>
        <v>22.8</v>
      </c>
      <c r="D17" s="16" t="n">
        <f aca="false">IF(통합데이터!H19="","",통합데이터!H19)</f>
        <v>8.8</v>
      </c>
      <c r="E17" s="16" t="n">
        <f aca="false">IF(통합데이터!K19="","",통합데이터!K19)</f>
        <v>6.3</v>
      </c>
      <c r="F17" s="16" t="n">
        <f aca="false">IF(COUNT(C17:E17)=3,AVERAGE(C17:E17),"")</f>
        <v>12.6333333333333</v>
      </c>
      <c r="G17" s="19" t="n">
        <f aca="false">IF(OR(C17="",E17=""),"",IF(C17=0,"",E17/C17))</f>
        <v>0.276315789473684</v>
      </c>
      <c r="H17" s="19" t="n">
        <f aca="false">IF(OR(D17="",E17=""),"",IF(D17=0,"",E17/D17))</f>
        <v>0.715909090909091</v>
      </c>
      <c r="I17" s="20" t="n">
        <f aca="false">IF(C17="","",RANK(C17,$C$5:$C$38))</f>
        <v>22</v>
      </c>
      <c r="J17" s="20" t="n">
        <f aca="false">IF(D17="","",RANK(D17,$D$5:$D$38))</f>
        <v>27</v>
      </c>
      <c r="K17" s="20" t="n">
        <f aca="false">IF(E17="","",RANK(E17,$E$5:$E$38))</f>
        <v>21</v>
      </c>
      <c r="L17" s="20" t="n">
        <f aca="false">IF(F17="","",RANK(F17,$F$5:$F$38))</f>
        <v>22</v>
      </c>
      <c r="M17" s="20" t="n">
        <f aca="false">IF(C17="","",RANK(C17,$C$5:$C$38)+COUNTIF($C$4:C16,C17))</f>
        <v>22</v>
      </c>
      <c r="N17" s="20" t="n">
        <f aca="false">IF(D17="","",RANK(D17,$D$5:$D$38)+COUNTIF($D$4:D16,D17))</f>
        <v>28</v>
      </c>
      <c r="O17" s="20" t="n">
        <f aca="false">IF(E17="","",RANK(E17,$E$5:$E$38)+COUNTIF($E$4:E16,E17))</f>
        <v>21</v>
      </c>
      <c r="P17" s="20" t="n">
        <f aca="false">IF(F17="","",RANK(F17,$F$5:$F$38)+COUNTIF($F$4:F16,F17))</f>
        <v>22</v>
      </c>
    </row>
    <row r="18" customFormat="false" ht="15" hidden="false" customHeight="false" outlineLevel="0" collapsed="false">
      <c r="A18" s="3" t="str">
        <f aca="false">통합데이터!A20</f>
        <v>온라인·디지털</v>
      </c>
      <c r="B18" s="3" t="str">
        <f aca="false">통합데이터!B20</f>
        <v>인터넷 기사</v>
      </c>
      <c r="C18" s="16" t="n">
        <f aca="false">IF(통합데이터!E20="","",통합데이터!E20)</f>
        <v>31.9</v>
      </c>
      <c r="D18" s="16" t="n">
        <f aca="false">IF(통합데이터!H20="","",통합데이터!H20)</f>
        <v>15</v>
      </c>
      <c r="E18" s="16" t="n">
        <f aca="false">IF(통합데이터!K20="","",통합데이터!K20)</f>
        <v>11.8</v>
      </c>
      <c r="F18" s="16" t="n">
        <f aca="false">IF(COUNT(C18:E18)=3,AVERAGE(C18:E18),"")</f>
        <v>19.5666666666667</v>
      </c>
      <c r="G18" s="19" t="n">
        <f aca="false">IF(OR(C18="",E18=""),"",IF(C18=0,"",E18/C18))</f>
        <v>0.369905956112853</v>
      </c>
      <c r="H18" s="19" t="n">
        <f aca="false">IF(OR(D18="",E18=""),"",IF(D18=0,"",E18/D18))</f>
        <v>0.786666666666667</v>
      </c>
      <c r="I18" s="20" t="n">
        <f aca="false">IF(C18="","",RANK(C18,$C$5:$C$38))</f>
        <v>13</v>
      </c>
      <c r="J18" s="20" t="n">
        <f aca="false">IF(D18="","",RANK(D18,$D$5:$D$38))</f>
        <v>17</v>
      </c>
      <c r="K18" s="20" t="n">
        <f aca="false">IF(E18="","",RANK(E18,$E$5:$E$38))</f>
        <v>13</v>
      </c>
      <c r="L18" s="20" t="n">
        <f aca="false">IF(F18="","",RANK(F18,$F$5:$F$38))</f>
        <v>16</v>
      </c>
      <c r="M18" s="20" t="n">
        <f aca="false">IF(C18="","",RANK(C18,$C$5:$C$38)+COUNTIF($C$4:C17,C18))</f>
        <v>13</v>
      </c>
      <c r="N18" s="20" t="n">
        <f aca="false">IF(D18="","",RANK(D18,$D$5:$D$38)+COUNTIF($D$4:D17,D18))</f>
        <v>17</v>
      </c>
      <c r="O18" s="20" t="n">
        <f aca="false">IF(E18="","",RANK(E18,$E$5:$E$38)+COUNTIF($E$4:E17,E18))</f>
        <v>13</v>
      </c>
      <c r="P18" s="20" t="n">
        <f aca="false">IF(F18="","",RANK(F18,$F$5:$F$38)+COUNTIF($F$4:F17,F18))</f>
        <v>16</v>
      </c>
    </row>
    <row r="19" customFormat="false" ht="15" hidden="false" customHeight="false" outlineLevel="0" collapsed="false">
      <c r="A19" s="3" t="str">
        <f aca="false">통합데이터!A21</f>
        <v>온라인·디지털</v>
      </c>
      <c r="B19" s="3" t="str">
        <f aca="false">통합데이터!B21</f>
        <v>SNS(페이스북, 인스타그램, 트위터 등) 광고/홍보</v>
      </c>
      <c r="C19" s="16" t="n">
        <f aca="false">IF(통합데이터!E21="","",통합데이터!E21)</f>
        <v>24.6</v>
      </c>
      <c r="D19" s="16" t="n">
        <f aca="false">IF(통합데이터!H21="","",통합데이터!H21)</f>
        <v>16.4</v>
      </c>
      <c r="E19" s="16" t="n">
        <f aca="false">IF(통합데이터!K21="","",통합데이터!K21)</f>
        <v>10</v>
      </c>
      <c r="F19" s="16" t="n">
        <f aca="false">IF(COUNT(C19:E19)=3,AVERAGE(C19:E19),"")</f>
        <v>17</v>
      </c>
      <c r="G19" s="19" t="n">
        <f aca="false">IF(OR(C19="",E19=""),"",IF(C19=0,"",E19/C19))</f>
        <v>0.40650406504065</v>
      </c>
      <c r="H19" s="19" t="n">
        <f aca="false">IF(OR(D19="",E19=""),"",IF(D19=0,"",E19/D19))</f>
        <v>0.609756097560976</v>
      </c>
      <c r="I19" s="20" t="n">
        <f aca="false">IF(C19="","",RANK(C19,$C$5:$C$38))</f>
        <v>19</v>
      </c>
      <c r="J19" s="20" t="n">
        <f aca="false">IF(D19="","",RANK(D19,$D$5:$D$38))</f>
        <v>16</v>
      </c>
      <c r="K19" s="20" t="n">
        <f aca="false">IF(E19="","",RANK(E19,$E$5:$E$38))</f>
        <v>15</v>
      </c>
      <c r="L19" s="20" t="n">
        <f aca="false">IF(F19="","",RANK(F19,$F$5:$F$38))</f>
        <v>18</v>
      </c>
      <c r="M19" s="20" t="n">
        <f aca="false">IF(C19="","",RANK(C19,$C$5:$C$38)+COUNTIF($C$4:C18,C19))</f>
        <v>19</v>
      </c>
      <c r="N19" s="20" t="n">
        <f aca="false">IF(D19="","",RANK(D19,$D$5:$D$38)+COUNTIF($D$4:D18,D19))</f>
        <v>16</v>
      </c>
      <c r="O19" s="20" t="n">
        <f aca="false">IF(E19="","",RANK(E19,$E$5:$E$38)+COUNTIF($E$4:E18,E19))</f>
        <v>15</v>
      </c>
      <c r="P19" s="20" t="n">
        <f aca="false">IF(F19="","",RANK(F19,$F$5:$F$38)+COUNTIF($F$4:F18,F19))</f>
        <v>18</v>
      </c>
    </row>
    <row r="20" customFormat="false" ht="15" hidden="false" customHeight="false" outlineLevel="0" collapsed="false">
      <c r="A20" s="3" t="str">
        <f aca="false">통합데이터!A22</f>
        <v>온라인·디지털</v>
      </c>
      <c r="B20" s="3" t="str">
        <f aca="false">통합데이터!B22</f>
        <v>SNS, 블로그 사용자 후기 및 전문가 리뷰</v>
      </c>
      <c r="C20" s="16" t="n">
        <f aca="false">IF(통합데이터!E22="","",통합데이터!E22)</f>
        <v>28.6</v>
      </c>
      <c r="D20" s="16" t="n">
        <f aca="false">IF(통합데이터!H22="","",통합데이터!H22)</f>
        <v>24.5</v>
      </c>
      <c r="E20" s="16" t="n">
        <f aca="false">IF(통합데이터!K22="","",통합데이터!K22)</f>
        <v>24.6</v>
      </c>
      <c r="F20" s="16" t="n">
        <f aca="false">IF(COUNT(C20:E20)=3,AVERAGE(C20:E20),"")</f>
        <v>25.9</v>
      </c>
      <c r="G20" s="19" t="n">
        <f aca="false">IF(OR(C20="",E20=""),"",IF(C20=0,"",E20/C20))</f>
        <v>0.86013986013986</v>
      </c>
      <c r="H20" s="19" t="n">
        <f aca="false">IF(OR(D20="",E20=""),"",IF(D20=0,"",E20/D20))</f>
        <v>1.00408163265306</v>
      </c>
      <c r="I20" s="20" t="n">
        <f aca="false">IF(C20="","",RANK(C20,$C$5:$C$38))</f>
        <v>16</v>
      </c>
      <c r="J20" s="20" t="n">
        <f aca="false">IF(D20="","",RANK(D20,$D$5:$D$38))</f>
        <v>9</v>
      </c>
      <c r="K20" s="20" t="n">
        <f aca="false">IF(E20="","",RANK(E20,$E$5:$E$38))</f>
        <v>7</v>
      </c>
      <c r="L20" s="20" t="n">
        <f aca="false">IF(F20="","",RANK(F20,$F$5:$F$38))</f>
        <v>9</v>
      </c>
      <c r="M20" s="20" t="n">
        <f aca="false">IF(C20="","",RANK(C20,$C$5:$C$38)+COUNTIF($C$4:C19,C20))</f>
        <v>16</v>
      </c>
      <c r="N20" s="20" t="n">
        <f aca="false">IF(D20="","",RANK(D20,$D$5:$D$38)+COUNTIF($D$4:D19,D20))</f>
        <v>9</v>
      </c>
      <c r="O20" s="20" t="n">
        <f aca="false">IF(E20="","",RANK(E20,$E$5:$E$38)+COUNTIF($E$4:E19,E20))</f>
        <v>7</v>
      </c>
      <c r="P20" s="20" t="n">
        <f aca="false">IF(F20="","",RANK(F20,$F$5:$F$38)+COUNTIF($F$4:F19,F20))</f>
        <v>9</v>
      </c>
    </row>
    <row r="21" customFormat="false" ht="15" hidden="false" customHeight="false" outlineLevel="0" collapsed="false">
      <c r="A21" s="3" t="str">
        <f aca="false">통합데이터!A23</f>
        <v>온라인·디지털</v>
      </c>
      <c r="B21" s="3" t="str">
        <f aca="false">통합데이터!B23</f>
        <v>포털 카페 및 커뮤니티(네이버, 다음 등)</v>
      </c>
      <c r="C21" s="16" t="n">
        <f aca="false">IF(통합데이터!E23="","",통합데이터!E23)</f>
        <v>32.9</v>
      </c>
      <c r="D21" s="16" t="n">
        <f aca="false">IF(통합데이터!H23="","",통합데이터!H23)</f>
        <v>20.9</v>
      </c>
      <c r="E21" s="16" t="n">
        <f aca="false">IF(통합데이터!K23="","",통합데이터!K23)</f>
        <v>17.9</v>
      </c>
      <c r="F21" s="16" t="n">
        <f aca="false">IF(COUNT(C21:E21)=3,AVERAGE(C21:E21),"")</f>
        <v>23.9</v>
      </c>
      <c r="G21" s="19" t="n">
        <f aca="false">IF(OR(C21="",E21=""),"",IF(C21=0,"",E21/C21))</f>
        <v>0.544072948328268</v>
      </c>
      <c r="H21" s="19" t="n">
        <f aca="false">IF(OR(D21="",E21=""),"",IF(D21=0,"",E21/D21))</f>
        <v>0.856459330143541</v>
      </c>
      <c r="I21" s="20" t="n">
        <f aca="false">IF(C21="","",RANK(C21,$C$5:$C$38))</f>
        <v>12</v>
      </c>
      <c r="J21" s="20" t="n">
        <f aca="false">IF(D21="","",RANK(D21,$D$5:$D$38))</f>
        <v>12</v>
      </c>
      <c r="K21" s="20" t="n">
        <f aca="false">IF(E21="","",RANK(E21,$E$5:$E$38))</f>
        <v>10</v>
      </c>
      <c r="L21" s="20" t="n">
        <f aca="false">IF(F21="","",RANK(F21,$F$5:$F$38))</f>
        <v>12</v>
      </c>
      <c r="M21" s="20" t="n">
        <f aca="false">IF(C21="","",RANK(C21,$C$5:$C$38)+COUNTIF($C$4:C20,C21))</f>
        <v>12</v>
      </c>
      <c r="N21" s="20" t="n">
        <f aca="false">IF(D21="","",RANK(D21,$D$5:$D$38)+COUNTIF($D$4:D20,D21))</f>
        <v>12</v>
      </c>
      <c r="O21" s="20" t="n">
        <f aca="false">IF(E21="","",RANK(E21,$E$5:$E$38)+COUNTIF($E$4:E20,E21))</f>
        <v>10</v>
      </c>
      <c r="P21" s="20" t="n">
        <f aca="false">IF(F21="","",RANK(F21,$F$5:$F$38)+COUNTIF($F$4:F20,F21))</f>
        <v>12</v>
      </c>
    </row>
    <row r="22" customFormat="false" ht="15" hidden="false" customHeight="false" outlineLevel="0" collapsed="false">
      <c r="A22" s="3" t="str">
        <f aca="false">통합데이터!A24</f>
        <v>온라인·디지털</v>
      </c>
      <c r="B22" s="3" t="str">
        <f aca="false">통합데이터!B24</f>
        <v>가격비교사이트 및 제품 관련 전문사이트</v>
      </c>
      <c r="C22" s="16" t="n">
        <f aca="false">IF(통합데이터!E24="","",통합데이터!E24)</f>
        <v>22.4</v>
      </c>
      <c r="D22" s="16" t="n">
        <f aca="false">IF(통합데이터!H24="","",통합데이터!H24)</f>
        <v>14.7</v>
      </c>
      <c r="E22" s="16" t="n">
        <f aca="false">IF(통합데이터!K24="","",통합데이터!K24)</f>
        <v>20.2</v>
      </c>
      <c r="F22" s="16" t="n">
        <f aca="false">IF(COUNT(C22:E22)=3,AVERAGE(C22:E22),"")</f>
        <v>19.1</v>
      </c>
      <c r="G22" s="19" t="n">
        <f aca="false">IF(OR(C22="",E22=""),"",IF(C22=0,"",E22/C22))</f>
        <v>0.901785714285714</v>
      </c>
      <c r="H22" s="19" t="n">
        <f aca="false">IF(OR(D22="",E22=""),"",IF(D22=0,"",E22/D22))</f>
        <v>1.37414965986395</v>
      </c>
      <c r="I22" s="20" t="n">
        <f aca="false">IF(C22="","",RANK(C22,$C$5:$C$38))</f>
        <v>23</v>
      </c>
      <c r="J22" s="20" t="n">
        <f aca="false">IF(D22="","",RANK(D22,$D$5:$D$38))</f>
        <v>18</v>
      </c>
      <c r="K22" s="20" t="n">
        <f aca="false">IF(E22="","",RANK(E22,$E$5:$E$38))</f>
        <v>8</v>
      </c>
      <c r="L22" s="20" t="n">
        <f aca="false">IF(F22="","",RANK(F22,$F$5:$F$38))</f>
        <v>17</v>
      </c>
      <c r="M22" s="20" t="n">
        <f aca="false">IF(C22="","",RANK(C22,$C$5:$C$38)+COUNTIF($C$4:C21,C22))</f>
        <v>23</v>
      </c>
      <c r="N22" s="20" t="n">
        <f aca="false">IF(D22="","",RANK(D22,$D$5:$D$38)+COUNTIF($D$4:D21,D22))</f>
        <v>18</v>
      </c>
      <c r="O22" s="20" t="n">
        <f aca="false">IF(E22="","",RANK(E22,$E$5:$E$38)+COUNTIF($E$4:E21,E22))</f>
        <v>8</v>
      </c>
      <c r="P22" s="20" t="n">
        <f aca="false">IF(F22="","",RANK(F22,$F$5:$F$38)+COUNTIF($F$4:F21,F22))</f>
        <v>17</v>
      </c>
    </row>
    <row r="23" customFormat="false" ht="15" hidden="false" customHeight="false" outlineLevel="0" collapsed="false">
      <c r="A23" s="3" t="str">
        <f aca="false">통합데이터!A25</f>
        <v>온라인·디지털</v>
      </c>
      <c r="B23" s="3" t="str">
        <f aca="false">통합데이터!B25</f>
        <v>해당 제품/매장 웹사이트</v>
      </c>
      <c r="C23" s="16" t="n">
        <f aca="false">IF(통합데이터!E25="","",통합데이터!E25)</f>
        <v>16.4</v>
      </c>
      <c r="D23" s="16" t="n">
        <f aca="false">IF(통합데이터!H25="","",통합데이터!H25)</f>
        <v>12.1</v>
      </c>
      <c r="E23" s="16" t="n">
        <f aca="false">IF(통합데이터!K25="","",통합데이터!K25)</f>
        <v>8.8</v>
      </c>
      <c r="F23" s="16" t="n">
        <f aca="false">IF(COUNT(C23:E23)=3,AVERAGE(C23:E23),"")</f>
        <v>12.4333333333333</v>
      </c>
      <c r="G23" s="19" t="n">
        <f aca="false">IF(OR(C23="",E23=""),"",IF(C23=0,"",E23/C23))</f>
        <v>0.536585365853659</v>
      </c>
      <c r="H23" s="19" t="n">
        <f aca="false">IF(OR(D23="",E23=""),"",IF(D23=0,"",E23/D23))</f>
        <v>0.727272727272727</v>
      </c>
      <c r="I23" s="20" t="n">
        <f aca="false">IF(C23="","",RANK(C23,$C$5:$C$38))</f>
        <v>27</v>
      </c>
      <c r="J23" s="20" t="n">
        <f aca="false">IF(D23="","",RANK(D23,$D$5:$D$38))</f>
        <v>22</v>
      </c>
      <c r="K23" s="20" t="n">
        <f aca="false">IF(E23="","",RANK(E23,$E$5:$E$38))</f>
        <v>16</v>
      </c>
      <c r="L23" s="20" t="n">
        <f aca="false">IF(F23="","",RANK(F23,$F$5:$F$38))</f>
        <v>23</v>
      </c>
      <c r="M23" s="20" t="n">
        <f aca="false">IF(C23="","",RANK(C23,$C$5:$C$38)+COUNTIF($C$4:C22,C23))</f>
        <v>27</v>
      </c>
      <c r="N23" s="20" t="n">
        <f aca="false">IF(D23="","",RANK(D23,$D$5:$D$38)+COUNTIF($D$4:D22,D23))</f>
        <v>22</v>
      </c>
      <c r="O23" s="20" t="n">
        <f aca="false">IF(E23="","",RANK(E23,$E$5:$E$38)+COUNTIF($E$4:E22,E23))</f>
        <v>16</v>
      </c>
      <c r="P23" s="20" t="n">
        <f aca="false">IF(F23="","",RANK(F23,$F$5:$F$38)+COUNTIF($F$4:F22,F23))</f>
        <v>23</v>
      </c>
    </row>
    <row r="24" customFormat="false" ht="15" hidden="false" customHeight="false" outlineLevel="0" collapsed="false">
      <c r="A24" s="3" t="str">
        <f aca="false">통합데이터!A26</f>
        <v>온라인·디지털</v>
      </c>
      <c r="B24" s="3" t="str">
        <f aca="false">통합데이터!B26</f>
        <v>이메일 광고/뉴스레터 등</v>
      </c>
      <c r="C24" s="16" t="n">
        <f aca="false">IF(통합데이터!E26="","",통합데이터!E26)</f>
        <v>12.9</v>
      </c>
      <c r="D24" s="16" t="n">
        <f aca="false">IF(통합데이터!H26="","",통합데이터!H26)</f>
        <v>5.5</v>
      </c>
      <c r="E24" s="16" t="n">
        <f aca="false">IF(통합데이터!K26="","",통합데이터!K26)</f>
        <v>2.5</v>
      </c>
      <c r="F24" s="16" t="n">
        <f aca="false">IF(COUNT(C24:E24)=3,AVERAGE(C24:E24),"")</f>
        <v>6.96666666666667</v>
      </c>
      <c r="G24" s="19" t="n">
        <f aca="false">IF(OR(C24="",E24=""),"",IF(C24=0,"",E24/C24))</f>
        <v>0.193798449612403</v>
      </c>
      <c r="H24" s="19" t="n">
        <f aca="false">IF(OR(D24="",E24=""),"",IF(D24=0,"",E24/D24))</f>
        <v>0.454545454545455</v>
      </c>
      <c r="I24" s="20" t="n">
        <f aca="false">IF(C24="","",RANK(C24,$C$5:$C$38))</f>
        <v>29</v>
      </c>
      <c r="J24" s="20" t="n">
        <f aca="false">IF(D24="","",RANK(D24,$D$5:$D$38))</f>
        <v>33</v>
      </c>
      <c r="K24" s="20" t="n">
        <f aca="false">IF(E24="","",RANK(E24,$E$5:$E$38))</f>
        <v>32</v>
      </c>
      <c r="L24" s="20" t="n">
        <f aca="false">IF(F24="","",RANK(F24,$F$5:$F$38))</f>
        <v>33</v>
      </c>
      <c r="M24" s="20" t="n">
        <f aca="false">IF(C24="","",RANK(C24,$C$5:$C$38)+COUNTIF($C$4:C23,C24))</f>
        <v>29</v>
      </c>
      <c r="N24" s="20" t="n">
        <f aca="false">IF(D24="","",RANK(D24,$D$5:$D$38)+COUNTIF($D$4:D23,D24))</f>
        <v>33</v>
      </c>
      <c r="O24" s="20" t="n">
        <f aca="false">IF(E24="","",RANK(E24,$E$5:$E$38)+COUNTIF($E$4:E23,E24))</f>
        <v>32</v>
      </c>
      <c r="P24" s="20" t="n">
        <f aca="false">IF(F24="","",RANK(F24,$F$5:$F$38)+COUNTIF($F$4:F23,F24))</f>
        <v>33</v>
      </c>
    </row>
    <row r="25" customFormat="false" ht="15" hidden="false" customHeight="false" outlineLevel="0" collapsed="false">
      <c r="A25" s="3" t="str">
        <f aca="false">통합데이터!A27</f>
        <v>옥외·공간</v>
      </c>
      <c r="B25" s="3" t="str">
        <f aca="false">통합데이터!B27</f>
        <v>건물 외벽/옥상, 역사 및 정류장 광고</v>
      </c>
      <c r="C25" s="16" t="n">
        <f aca="false">IF(통합데이터!E27="","",통합데이터!E27)</f>
        <v>44.6</v>
      </c>
      <c r="D25" s="16" t="n">
        <f aca="false">IF(통합데이터!H27="","",통합데이터!H27)</f>
        <v>18.9</v>
      </c>
      <c r="E25" s="16" t="n">
        <f aca="false">IF(통합데이터!K27="","",통합데이터!K27)</f>
        <v>7.7</v>
      </c>
      <c r="F25" s="16" t="n">
        <f aca="false">IF(COUNT(C25:E25)=3,AVERAGE(C25:E25),"")</f>
        <v>23.7333333333333</v>
      </c>
      <c r="G25" s="19" t="n">
        <f aca="false">IF(OR(C25="",E25=""),"",IF(C25=0,"",E25/C25))</f>
        <v>0.172645739910314</v>
      </c>
      <c r="H25" s="19" t="n">
        <f aca="false">IF(OR(D25="",E25=""),"",IF(D25=0,"",E25/D25))</f>
        <v>0.407407407407407</v>
      </c>
      <c r="I25" s="20" t="n">
        <f aca="false">IF(C25="","",RANK(C25,$C$5:$C$38))</f>
        <v>4</v>
      </c>
      <c r="J25" s="20" t="n">
        <f aca="false">IF(D25="","",RANK(D25,$D$5:$D$38))</f>
        <v>14</v>
      </c>
      <c r="K25" s="20" t="n">
        <f aca="false">IF(E25="","",RANK(E25,$E$5:$E$38))</f>
        <v>17</v>
      </c>
      <c r="L25" s="20" t="n">
        <f aca="false">IF(F25="","",RANK(F25,$F$5:$F$38))</f>
        <v>13</v>
      </c>
      <c r="M25" s="20" t="n">
        <f aca="false">IF(C25="","",RANK(C25,$C$5:$C$38)+COUNTIF($C$4:C24,C25))</f>
        <v>4</v>
      </c>
      <c r="N25" s="20" t="n">
        <f aca="false">IF(D25="","",RANK(D25,$D$5:$D$38)+COUNTIF($D$4:D24,D25))</f>
        <v>14</v>
      </c>
      <c r="O25" s="20" t="n">
        <f aca="false">IF(E25="","",RANK(E25,$E$5:$E$38)+COUNTIF($E$4:E24,E25))</f>
        <v>18</v>
      </c>
      <c r="P25" s="20" t="n">
        <f aca="false">IF(F25="","",RANK(F25,$F$5:$F$38)+COUNTIF($F$4:F24,F25))</f>
        <v>13</v>
      </c>
    </row>
    <row r="26" customFormat="false" ht="15" hidden="false" customHeight="false" outlineLevel="0" collapsed="false">
      <c r="A26" s="3" t="str">
        <f aca="false">통합데이터!A28</f>
        <v>옥외·공간</v>
      </c>
      <c r="B26" s="3" t="str">
        <f aca="false">통합데이터!B28</f>
        <v>버스, 택시, 지하철 광고</v>
      </c>
      <c r="C26" s="16" t="n">
        <f aca="false">IF(통합데이터!E28="","",통합데이터!E28)</f>
        <v>43</v>
      </c>
      <c r="D26" s="16" t="n">
        <f aca="false">IF(통합데이터!H28="","",통합데이터!H28)</f>
        <v>16.8</v>
      </c>
      <c r="E26" s="16" t="n">
        <f aca="false">IF(통합데이터!K28="","",통합데이터!K28)</f>
        <v>7.5</v>
      </c>
      <c r="F26" s="16" t="n">
        <f aca="false">IF(COUNT(C26:E26)=3,AVERAGE(C26:E26),"")</f>
        <v>22.4333333333333</v>
      </c>
      <c r="G26" s="19" t="n">
        <f aca="false">IF(OR(C26="",E26=""),"",IF(C26=0,"",E26/C26))</f>
        <v>0.174418604651163</v>
      </c>
      <c r="H26" s="19" t="n">
        <f aca="false">IF(OR(D26="",E26=""),"",IF(D26=0,"",E26/D26))</f>
        <v>0.446428571428571</v>
      </c>
      <c r="I26" s="20" t="n">
        <f aca="false">IF(C26="","",RANK(C26,$C$5:$C$38))</f>
        <v>5</v>
      </c>
      <c r="J26" s="20" t="n">
        <f aca="false">IF(D26="","",RANK(D26,$D$5:$D$38))</f>
        <v>15</v>
      </c>
      <c r="K26" s="20" t="n">
        <f aca="false">IF(E26="","",RANK(E26,$E$5:$E$38))</f>
        <v>19</v>
      </c>
      <c r="L26" s="20" t="n">
        <f aca="false">IF(F26="","",RANK(F26,$F$5:$F$38))</f>
        <v>14</v>
      </c>
      <c r="M26" s="20" t="n">
        <f aca="false">IF(C26="","",RANK(C26,$C$5:$C$38)+COUNTIF($C$4:C25,C26))</f>
        <v>5</v>
      </c>
      <c r="N26" s="20" t="n">
        <f aca="false">IF(D26="","",RANK(D26,$D$5:$D$38)+COUNTIF($D$4:D25,D26))</f>
        <v>15</v>
      </c>
      <c r="O26" s="20" t="n">
        <f aca="false">IF(E26="","",RANK(E26,$E$5:$E$38)+COUNTIF($E$4:E25,E26))</f>
        <v>19</v>
      </c>
      <c r="P26" s="20" t="n">
        <f aca="false">IF(F26="","",RANK(F26,$F$5:$F$38)+COUNTIF($F$4:F25,F26))</f>
        <v>14</v>
      </c>
    </row>
    <row r="27" customFormat="false" ht="15" hidden="false" customHeight="false" outlineLevel="0" collapsed="false">
      <c r="A27" s="3" t="str">
        <f aca="false">통합데이터!A29</f>
        <v>옥외·공간</v>
      </c>
      <c r="B27" s="3" t="str">
        <f aca="false">통합데이터!B29</f>
        <v>영화관, 스포츠 경기장, 공연장 등 광고</v>
      </c>
      <c r="C27" s="16" t="n">
        <f aca="false">IF(통합데이터!E29="","",통합데이터!E29)</f>
        <v>35.7</v>
      </c>
      <c r="D27" s="16" t="n">
        <f aca="false">IF(통합데이터!H29="","",통합데이터!H29)</f>
        <v>21</v>
      </c>
      <c r="E27" s="16" t="n">
        <f aca="false">IF(통합데이터!K29="","",통합데이터!K29)</f>
        <v>7.5</v>
      </c>
      <c r="F27" s="16" t="n">
        <f aca="false">IF(COUNT(C27:E27)=3,AVERAGE(C27:E27),"")</f>
        <v>21.4</v>
      </c>
      <c r="G27" s="19" t="n">
        <f aca="false">IF(OR(C27="",E27=""),"",IF(C27=0,"",E27/C27))</f>
        <v>0.210084033613445</v>
      </c>
      <c r="H27" s="19" t="n">
        <f aca="false">IF(OR(D27="",E27=""),"",IF(D27=0,"",E27/D27))</f>
        <v>0.357142857142857</v>
      </c>
      <c r="I27" s="20" t="n">
        <f aca="false">IF(C27="","",RANK(C27,$C$5:$C$38))</f>
        <v>11</v>
      </c>
      <c r="J27" s="20" t="n">
        <f aca="false">IF(D27="","",RANK(D27,$D$5:$D$38))</f>
        <v>11</v>
      </c>
      <c r="K27" s="20" t="n">
        <f aca="false">IF(E27="","",RANK(E27,$E$5:$E$38))</f>
        <v>19</v>
      </c>
      <c r="L27" s="20" t="n">
        <f aca="false">IF(F27="","",RANK(F27,$F$5:$F$38))</f>
        <v>15</v>
      </c>
      <c r="M27" s="20" t="n">
        <f aca="false">IF(C27="","",RANK(C27,$C$5:$C$38)+COUNTIF($C$4:C26,C27))</f>
        <v>11</v>
      </c>
      <c r="N27" s="20" t="n">
        <f aca="false">IF(D27="","",RANK(D27,$D$5:$D$38)+COUNTIF($D$4:D26,D27))</f>
        <v>11</v>
      </c>
      <c r="O27" s="20" t="n">
        <f aca="false">IF(E27="","",RANK(E27,$E$5:$E$38)+COUNTIF($E$4:E26,E27))</f>
        <v>20</v>
      </c>
      <c r="P27" s="20" t="n">
        <f aca="false">IF(F27="","",RANK(F27,$F$5:$F$38)+COUNTIF($F$4:F26,F27))</f>
        <v>15</v>
      </c>
    </row>
    <row r="28" customFormat="false" ht="15" hidden="false" customHeight="false" outlineLevel="0" collapsed="false">
      <c r="A28" s="3" t="str">
        <f aca="false">통합데이터!A30</f>
        <v>매장·판촉</v>
      </c>
      <c r="B28" s="3" t="str">
        <f aca="false">통합데이터!B30</f>
        <v>매장 간판 및 외관 광고물</v>
      </c>
      <c r="C28" s="16" t="n">
        <f aca="false">IF(통합데이터!E30="","",통합데이터!E30)</f>
        <v>40</v>
      </c>
      <c r="D28" s="16" t="n">
        <f aca="false">IF(통합데이터!H30="","",통합데이터!H30)</f>
        <v>20.9</v>
      </c>
      <c r="E28" s="16" t="n">
        <f aca="false">IF(통합데이터!K30="","",통합데이터!K30)</f>
        <v>10.8</v>
      </c>
      <c r="F28" s="16" t="n">
        <f aca="false">IF(COUNT(C28:E28)=3,AVERAGE(C28:E28),"")</f>
        <v>23.9</v>
      </c>
      <c r="G28" s="19" t="n">
        <f aca="false">IF(OR(C28="",E28=""),"",IF(C28=0,"",E28/C28))</f>
        <v>0.27</v>
      </c>
      <c r="H28" s="19" t="n">
        <f aca="false">IF(OR(D28="",E28=""),"",IF(D28=0,"",E28/D28))</f>
        <v>0.516746411483254</v>
      </c>
      <c r="I28" s="20" t="n">
        <f aca="false">IF(C28="","",RANK(C28,$C$5:$C$38))</f>
        <v>9</v>
      </c>
      <c r="J28" s="20" t="n">
        <f aca="false">IF(D28="","",RANK(D28,$D$5:$D$38))</f>
        <v>12</v>
      </c>
      <c r="K28" s="20" t="n">
        <f aca="false">IF(E28="","",RANK(E28,$E$5:$E$38))</f>
        <v>14</v>
      </c>
      <c r="L28" s="20" t="n">
        <f aca="false">IF(F28="","",RANK(F28,$F$5:$F$38))</f>
        <v>11</v>
      </c>
      <c r="M28" s="20" t="n">
        <f aca="false">IF(C28="","",RANK(C28,$C$5:$C$38)+COUNTIF($C$4:C27,C28))</f>
        <v>9</v>
      </c>
      <c r="N28" s="20" t="n">
        <f aca="false">IF(D28="","",RANK(D28,$D$5:$D$38)+COUNTIF($D$4:D27,D28))</f>
        <v>13</v>
      </c>
      <c r="O28" s="20" t="n">
        <f aca="false">IF(E28="","",RANK(E28,$E$5:$E$38)+COUNTIF($E$4:E27,E28))</f>
        <v>14</v>
      </c>
      <c r="P28" s="20" t="n">
        <f aca="false">IF(F28="","",RANK(F28,$F$5:$F$38)+COUNTIF($F$4:F27,F28))</f>
        <v>12</v>
      </c>
    </row>
    <row r="29" customFormat="false" ht="15" hidden="false" customHeight="false" outlineLevel="0" collapsed="false">
      <c r="A29" s="3" t="str">
        <f aca="false">통합데이터!A31</f>
        <v>매장·판촉</v>
      </c>
      <c r="B29" s="3" t="str">
        <f aca="false">통합데이터!B31</f>
        <v>매장 내 광고(POP)</v>
      </c>
      <c r="C29" s="16" t="n">
        <f aca="false">IF(통합데이터!E31="","",통합데이터!E31)</f>
        <v>36.5</v>
      </c>
      <c r="D29" s="16" t="n">
        <f aca="false">IF(통합데이터!H31="","",통합데이터!H31)</f>
        <v>23.4</v>
      </c>
      <c r="E29" s="16" t="n">
        <f aca="false">IF(통합데이터!K31="","",통합데이터!K31)</f>
        <v>12.2</v>
      </c>
      <c r="F29" s="16" t="n">
        <f aca="false">IF(COUNT(C29:E29)=3,AVERAGE(C29:E29),"")</f>
        <v>24.0333333333333</v>
      </c>
      <c r="G29" s="19" t="n">
        <f aca="false">IF(OR(C29="",E29=""),"",IF(C29=0,"",E29/C29))</f>
        <v>0.334246575342466</v>
      </c>
      <c r="H29" s="19" t="n">
        <f aca="false">IF(OR(D29="",E29=""),"",IF(D29=0,"",E29/D29))</f>
        <v>0.521367521367521</v>
      </c>
      <c r="I29" s="20" t="n">
        <f aca="false">IF(C29="","",RANK(C29,$C$5:$C$38))</f>
        <v>10</v>
      </c>
      <c r="J29" s="20" t="n">
        <f aca="false">IF(D29="","",RANK(D29,$D$5:$D$38))</f>
        <v>10</v>
      </c>
      <c r="K29" s="20" t="n">
        <f aca="false">IF(E29="","",RANK(E29,$E$5:$E$38))</f>
        <v>12</v>
      </c>
      <c r="L29" s="20" t="n">
        <f aca="false">IF(F29="","",RANK(F29,$F$5:$F$38))</f>
        <v>10</v>
      </c>
      <c r="M29" s="20" t="n">
        <f aca="false">IF(C29="","",RANK(C29,$C$5:$C$38)+COUNTIF($C$4:C28,C29))</f>
        <v>10</v>
      </c>
      <c r="N29" s="20" t="n">
        <f aca="false">IF(D29="","",RANK(D29,$D$5:$D$38)+COUNTIF($D$4:D28,D29))</f>
        <v>10</v>
      </c>
      <c r="O29" s="20" t="n">
        <f aca="false">IF(E29="","",RANK(E29,$E$5:$E$38)+COUNTIF($E$4:E28,E29))</f>
        <v>12</v>
      </c>
      <c r="P29" s="20" t="n">
        <f aca="false">IF(F29="","",RANK(F29,$F$5:$F$38)+COUNTIF($F$4:F28,F29))</f>
        <v>10</v>
      </c>
    </row>
    <row r="30" customFormat="false" ht="15" hidden="false" customHeight="false" outlineLevel="0" collapsed="false">
      <c r="A30" s="3" t="str">
        <f aca="false">통합데이터!A32</f>
        <v>매장·판촉</v>
      </c>
      <c r="B30" s="3" t="str">
        <f aca="false">통합데이터!B32</f>
        <v>판매원(점원) 추천</v>
      </c>
      <c r="C30" s="16" t="n">
        <f aca="false">IF(통합데이터!E32="","",통합데이터!E32)</f>
        <v>43</v>
      </c>
      <c r="D30" s="16" t="n">
        <f aca="false">IF(통합데이터!H32="","",통합데이터!H32)</f>
        <v>31</v>
      </c>
      <c r="E30" s="16" t="n">
        <f aca="false">IF(통합데이터!K32="","",통합데이터!K32)</f>
        <v>43.4</v>
      </c>
      <c r="F30" s="16" t="n">
        <f aca="false">IF(COUNT(C30:E30)=3,AVERAGE(C30:E30),"")</f>
        <v>39.1333333333333</v>
      </c>
      <c r="G30" s="19" t="n">
        <f aca="false">IF(OR(C30="",E30=""),"",IF(C30=0,"",E30/C30))</f>
        <v>1.0093023255814</v>
      </c>
      <c r="H30" s="19" t="n">
        <f aca="false">IF(OR(D30="",E30=""),"",IF(D30=0,"",E30/D30))</f>
        <v>1.4</v>
      </c>
      <c r="I30" s="20" t="n">
        <f aca="false">IF(C30="","",RANK(C30,$C$5:$C$38))</f>
        <v>5</v>
      </c>
      <c r="J30" s="20" t="n">
        <f aca="false">IF(D30="","",RANK(D30,$D$5:$D$38))</f>
        <v>5</v>
      </c>
      <c r="K30" s="20" t="n">
        <f aca="false">IF(E30="","",RANK(E30,$E$5:$E$38))</f>
        <v>3</v>
      </c>
      <c r="L30" s="20" t="n">
        <f aca="false">IF(F30="","",RANK(F30,$F$5:$F$38))</f>
        <v>3</v>
      </c>
      <c r="M30" s="20" t="n">
        <f aca="false">IF(C30="","",RANK(C30,$C$5:$C$38)+COUNTIF($C$4:C29,C30))</f>
        <v>6</v>
      </c>
      <c r="N30" s="20" t="n">
        <f aca="false">IF(D30="","",RANK(D30,$D$5:$D$38)+COUNTIF($D$4:D29,D30))</f>
        <v>5</v>
      </c>
      <c r="O30" s="20" t="n">
        <f aca="false">IF(E30="","",RANK(E30,$E$5:$E$38)+COUNTIF($E$4:E29,E30))</f>
        <v>3</v>
      </c>
      <c r="P30" s="20" t="n">
        <f aca="false">IF(F30="","",RANK(F30,$F$5:$F$38)+COUNTIF($F$4:F29,F30))</f>
        <v>3</v>
      </c>
    </row>
    <row r="31" customFormat="false" ht="15" hidden="false" customHeight="false" outlineLevel="0" collapsed="false">
      <c r="A31" s="3" t="str">
        <f aca="false">통합데이터!A33</f>
        <v>매장·판촉</v>
      </c>
      <c r="B31" s="3" t="str">
        <f aca="false">통합데이터!B33</f>
        <v>샘플/구매 사은품</v>
      </c>
      <c r="C31" s="16" t="n">
        <f aca="false">IF(통합데이터!E33="","",통합데이터!E33)</f>
        <v>31.9</v>
      </c>
      <c r="D31" s="16" t="n">
        <f aca="false">IF(통합데이터!H33="","",통합데이터!H33)</f>
        <v>29.6</v>
      </c>
      <c r="E31" s="16" t="n">
        <f aca="false">IF(통합데이터!K33="","",통합데이터!K33)</f>
        <v>31.3</v>
      </c>
      <c r="F31" s="16" t="n">
        <f aca="false">IF(COUNT(C31:E31)=3,AVERAGE(C31:E31),"")</f>
        <v>30.9333333333333</v>
      </c>
      <c r="G31" s="19" t="n">
        <f aca="false">IF(OR(C31="",E31=""),"",IF(C31=0,"",E31/C31))</f>
        <v>0.981191222570533</v>
      </c>
      <c r="H31" s="19" t="n">
        <f aca="false">IF(OR(D31="",E31=""),"",IF(D31=0,"",E31/D31))</f>
        <v>1.05743243243243</v>
      </c>
      <c r="I31" s="20" t="n">
        <f aca="false">IF(C31="","",RANK(C31,$C$5:$C$38))</f>
        <v>13</v>
      </c>
      <c r="J31" s="20" t="n">
        <f aca="false">IF(D31="","",RANK(D31,$D$5:$D$38))</f>
        <v>6</v>
      </c>
      <c r="K31" s="20" t="n">
        <f aca="false">IF(E31="","",RANK(E31,$E$5:$E$38))</f>
        <v>5</v>
      </c>
      <c r="L31" s="20" t="n">
        <f aca="false">IF(F31="","",RANK(F31,$F$5:$F$38))</f>
        <v>6</v>
      </c>
      <c r="M31" s="20" t="n">
        <f aca="false">IF(C31="","",RANK(C31,$C$5:$C$38)+COUNTIF($C$4:C30,C31))</f>
        <v>14</v>
      </c>
      <c r="N31" s="20" t="n">
        <f aca="false">IF(D31="","",RANK(D31,$D$5:$D$38)+COUNTIF($D$4:D30,D31))</f>
        <v>6</v>
      </c>
      <c r="O31" s="20" t="n">
        <f aca="false">IF(E31="","",RANK(E31,$E$5:$E$38)+COUNTIF($E$4:E30,E31))</f>
        <v>5</v>
      </c>
      <c r="P31" s="20" t="n">
        <f aca="false">IF(F31="","",RANK(F31,$F$5:$F$38)+COUNTIF($F$4:F30,F31))</f>
        <v>6</v>
      </c>
    </row>
    <row r="32" customFormat="false" ht="15" hidden="false" customHeight="false" outlineLevel="0" collapsed="false">
      <c r="A32" s="3" t="str">
        <f aca="false">통합데이터!A34</f>
        <v>매장·판촉</v>
      </c>
      <c r="B32" s="3" t="str">
        <f aca="false">통합데이터!B34</f>
        <v>쿠폰/프로모션 등 행사 및 이벤트</v>
      </c>
      <c r="C32" s="16" t="n">
        <f aca="false">IF(통합데이터!E34="","",통합데이터!E34)</f>
        <v>29.9</v>
      </c>
      <c r="D32" s="16" t="n">
        <f aca="false">IF(통합데이터!H34="","",통합데이터!H34)</f>
        <v>28.3</v>
      </c>
      <c r="E32" s="16" t="n">
        <f aca="false">IF(통합데이터!K34="","",통합데이터!K34)</f>
        <v>31.2</v>
      </c>
      <c r="F32" s="16" t="n">
        <f aca="false">IF(COUNT(C32:E32)=3,AVERAGE(C32:E32),"")</f>
        <v>29.8</v>
      </c>
      <c r="G32" s="19" t="n">
        <f aca="false">IF(OR(C32="",E32=""),"",IF(C32=0,"",E32/C32))</f>
        <v>1.04347826086957</v>
      </c>
      <c r="H32" s="19" t="n">
        <f aca="false">IF(OR(D32="",E32=""),"",IF(D32=0,"",E32/D32))</f>
        <v>1.10247349823322</v>
      </c>
      <c r="I32" s="20" t="n">
        <f aca="false">IF(C32="","",RANK(C32,$C$5:$C$38))</f>
        <v>15</v>
      </c>
      <c r="J32" s="20" t="n">
        <f aca="false">IF(D32="","",RANK(D32,$D$5:$D$38))</f>
        <v>7</v>
      </c>
      <c r="K32" s="20" t="n">
        <f aca="false">IF(E32="","",RANK(E32,$E$5:$E$38))</f>
        <v>6</v>
      </c>
      <c r="L32" s="20" t="n">
        <f aca="false">IF(F32="","",RANK(F32,$F$5:$F$38))</f>
        <v>7</v>
      </c>
      <c r="M32" s="20" t="n">
        <f aca="false">IF(C32="","",RANK(C32,$C$5:$C$38)+COUNTIF($C$4:C31,C32))</f>
        <v>15</v>
      </c>
      <c r="N32" s="20" t="n">
        <f aca="false">IF(D32="","",RANK(D32,$D$5:$D$38)+COUNTIF($D$4:D31,D32))</f>
        <v>7</v>
      </c>
      <c r="O32" s="20" t="n">
        <f aca="false">IF(E32="","",RANK(E32,$E$5:$E$38)+COUNTIF($E$4:E31,E32))</f>
        <v>6</v>
      </c>
      <c r="P32" s="20" t="n">
        <f aca="false">IF(F32="","",RANK(F32,$F$5:$F$38)+COUNTIF($F$4:F31,F32))</f>
        <v>7</v>
      </c>
    </row>
    <row r="33" customFormat="false" ht="15" hidden="false" customHeight="false" outlineLevel="0" collapsed="false">
      <c r="A33" s="3" t="str">
        <f aca="false">통합데이터!A35</f>
        <v>매장·판촉</v>
      </c>
      <c r="B33" s="3" t="str">
        <f aca="false">통합데이터!B35</f>
        <v>매장 내 진열제품 및 제품정보</v>
      </c>
      <c r="C33" s="16" t="n">
        <f aca="false">IF(통합데이터!E35="","",통합데이터!E35)</f>
        <v>44.8</v>
      </c>
      <c r="D33" s="16" t="n">
        <f aca="false">IF(통합데이터!H35="","",통합데이터!H35)</f>
        <v>36.4</v>
      </c>
      <c r="E33" s="16" t="n">
        <f aca="false">IF(통합데이터!K35="","",통합데이터!K35)</f>
        <v>34.2</v>
      </c>
      <c r="F33" s="16" t="n">
        <f aca="false">IF(COUNT(C33:E33)=3,AVERAGE(C33:E33),"")</f>
        <v>38.4666666666667</v>
      </c>
      <c r="G33" s="19" t="n">
        <f aca="false">IF(OR(C33="",E33=""),"",IF(C33=0,"",E33/C33))</f>
        <v>0.763392857142857</v>
      </c>
      <c r="H33" s="19" t="n">
        <f aca="false">IF(OR(D33="",E33=""),"",IF(D33=0,"",E33/D33))</f>
        <v>0.93956043956044</v>
      </c>
      <c r="I33" s="20" t="n">
        <f aca="false">IF(C33="","",RANK(C33,$C$5:$C$38))</f>
        <v>3</v>
      </c>
      <c r="J33" s="20" t="n">
        <f aca="false">IF(D33="","",RANK(D33,$D$5:$D$38))</f>
        <v>3</v>
      </c>
      <c r="K33" s="20" t="n">
        <f aca="false">IF(E33="","",RANK(E33,$E$5:$E$38))</f>
        <v>4</v>
      </c>
      <c r="L33" s="20" t="n">
        <f aca="false">IF(F33="","",RANK(F33,$F$5:$F$38))</f>
        <v>4</v>
      </c>
      <c r="M33" s="20" t="n">
        <f aca="false">IF(C33="","",RANK(C33,$C$5:$C$38)+COUNTIF($C$4:C32,C33))</f>
        <v>3</v>
      </c>
      <c r="N33" s="20" t="n">
        <f aca="false">IF(D33="","",RANK(D33,$D$5:$D$38)+COUNTIF($D$4:D32,D33))</f>
        <v>3</v>
      </c>
      <c r="O33" s="20" t="n">
        <f aca="false">IF(E33="","",RANK(E33,$E$5:$E$38)+COUNTIF($E$4:E32,E33))</f>
        <v>4</v>
      </c>
      <c r="P33" s="20" t="n">
        <f aca="false">IF(F33="","",RANK(F33,$F$5:$F$38)+COUNTIF($F$4:F32,F33))</f>
        <v>4</v>
      </c>
    </row>
    <row r="34" customFormat="false" ht="15" hidden="false" customHeight="false" outlineLevel="0" collapsed="false">
      <c r="A34" s="3" t="str">
        <f aca="false">통합데이터!A36</f>
        <v>구전</v>
      </c>
      <c r="B34" s="3" t="str">
        <f aca="false">통합데이터!B36</f>
        <v>주변사람(친구/가족/동료)의 추천</v>
      </c>
      <c r="C34" s="16" t="n">
        <f aca="false">IF(통합데이터!E36="","",통합데이터!E36)</f>
        <v>58.5</v>
      </c>
      <c r="D34" s="16" t="n">
        <f aca="false">IF(통합데이터!H36="","",통합데이터!H36)</f>
        <v>49.7</v>
      </c>
      <c r="E34" s="16" t="n">
        <f aca="false">IF(통합데이터!K36="","",통합데이터!K36)</f>
        <v>68.2</v>
      </c>
      <c r="F34" s="16" t="n">
        <f aca="false">IF(COUNT(C34:E34)=3,AVERAGE(C34:E34),"")</f>
        <v>58.8</v>
      </c>
      <c r="G34" s="19" t="n">
        <f aca="false">IF(OR(C34="",E34=""),"",IF(C34=0,"",E34/C34))</f>
        <v>1.16581196581197</v>
      </c>
      <c r="H34" s="19" t="n">
        <f aca="false">IF(OR(D34="",E34=""),"",IF(D34=0,"",E34/D34))</f>
        <v>1.37223340040241</v>
      </c>
      <c r="I34" s="20" t="n">
        <f aca="false">IF(C34="","",RANK(C34,$C$5:$C$38))</f>
        <v>2</v>
      </c>
      <c r="J34" s="20" t="n">
        <f aca="false">IF(D34="","",RANK(D34,$D$5:$D$38))</f>
        <v>2</v>
      </c>
      <c r="K34" s="20" t="n">
        <f aca="false">IF(E34="","",RANK(E34,$E$5:$E$38))</f>
        <v>1</v>
      </c>
      <c r="L34" s="20" t="n">
        <f aca="false">IF(F34="","",RANK(F34,$F$5:$F$38))</f>
        <v>2</v>
      </c>
      <c r="M34" s="20" t="n">
        <f aca="false">IF(C34="","",RANK(C34,$C$5:$C$38)+COUNTIF($C$4:C33,C34))</f>
        <v>2</v>
      </c>
      <c r="N34" s="20" t="n">
        <f aca="false">IF(D34="","",RANK(D34,$D$5:$D$38)+COUNTIF($D$4:D33,D34))</f>
        <v>2</v>
      </c>
      <c r="O34" s="20" t="n">
        <f aca="false">IF(E34="","",RANK(E34,$E$5:$E$38)+COUNTIF($E$4:E33,E34))</f>
        <v>1</v>
      </c>
      <c r="P34" s="20" t="n">
        <f aca="false">IF(F34="","",RANK(F34,$F$5:$F$38)+COUNTIF($F$4:F33,F34))</f>
        <v>2</v>
      </c>
    </row>
    <row r="35" customFormat="false" ht="15" hidden="false" customHeight="false" outlineLevel="0" collapsed="false">
      <c r="A35" s="3" t="str">
        <f aca="false">통합데이터!A37</f>
        <v>기업활동·후원</v>
      </c>
      <c r="B35" s="3" t="str">
        <f aca="false">통합데이터!B37</f>
        <v>회사의 사회공헌 및 기여활동</v>
      </c>
      <c r="C35" s="16" t="n">
        <f aca="false">IF(통합데이터!E37="","",통합데이터!E37)</f>
        <v>12.4</v>
      </c>
      <c r="D35" s="16" t="n">
        <f aca="false">IF(통합데이터!H37="","",통합데이터!H37)</f>
        <v>13.1</v>
      </c>
      <c r="E35" s="16" t="n">
        <f aca="false">IF(통합데이터!K37="","",통합데이터!K37)</f>
        <v>3.9</v>
      </c>
      <c r="F35" s="16" t="n">
        <f aca="false">IF(COUNT(C35:E35)=3,AVERAGE(C35:E35),"")</f>
        <v>9.8</v>
      </c>
      <c r="G35" s="19" t="n">
        <f aca="false">IF(OR(C35="",E35=""),"",IF(C35=0,"",E35/C35))</f>
        <v>0.314516129032258</v>
      </c>
      <c r="H35" s="19" t="n">
        <f aca="false">IF(OR(D35="",E35=""),"",IF(D35=0,"",E35/D35))</f>
        <v>0.297709923664122</v>
      </c>
      <c r="I35" s="20" t="n">
        <f aca="false">IF(C35="","",RANK(C35,$C$5:$C$38))</f>
        <v>30</v>
      </c>
      <c r="J35" s="20" t="n">
        <f aca="false">IF(D35="","",RANK(D35,$D$5:$D$38))</f>
        <v>21</v>
      </c>
      <c r="K35" s="20" t="n">
        <f aca="false">IF(E35="","",RANK(E35,$E$5:$E$38))</f>
        <v>28</v>
      </c>
      <c r="L35" s="20" t="n">
        <f aca="false">IF(F35="","",RANK(F35,$F$5:$F$38))</f>
        <v>28</v>
      </c>
      <c r="M35" s="20" t="n">
        <f aca="false">IF(C35="","",RANK(C35,$C$5:$C$38)+COUNTIF($C$4:C34,C35))</f>
        <v>30</v>
      </c>
      <c r="N35" s="20" t="n">
        <f aca="false">IF(D35="","",RANK(D35,$D$5:$D$38)+COUNTIF($D$4:D34,D35))</f>
        <v>21</v>
      </c>
      <c r="O35" s="20" t="n">
        <f aca="false">IF(E35="","",RANK(E35,$E$5:$E$38)+COUNTIF($E$4:E34,E35))</f>
        <v>28</v>
      </c>
      <c r="P35" s="20" t="n">
        <f aca="false">IF(F35="","",RANK(F35,$F$5:$F$38)+COUNTIF($F$4:F34,F35))</f>
        <v>28</v>
      </c>
    </row>
    <row r="36" customFormat="false" ht="15" hidden="false" customHeight="false" outlineLevel="0" collapsed="false">
      <c r="A36" s="3" t="str">
        <f aca="false">통합데이터!A38</f>
        <v>기업활동·후원</v>
      </c>
      <c r="B36" s="3" t="str">
        <f aca="false">통합데이터!B38</f>
        <v>게임 또는 스포츠 팀 후원</v>
      </c>
      <c r="C36" s="16" t="str">
        <f aca="false">IF(통합데이터!E38="","",통합데이터!E38)</f>
        <v/>
      </c>
      <c r="D36" s="16" t="str">
        <f aca="false">IF(통합데이터!H38="","",통합데이터!H38)</f>
        <v/>
      </c>
      <c r="E36" s="16" t="str">
        <f aca="false">IF(통합데이터!K38="","",통합데이터!K38)</f>
        <v/>
      </c>
      <c r="F36" s="16" t="str">
        <f aca="false">IF(COUNT(C36:E36)=3,AVERAGE(C36:E36),"")</f>
        <v/>
      </c>
      <c r="G36" s="19" t="str">
        <f aca="false">IF(OR(C36="",E36=""),"",IF(C36=0,"",E36/C36))</f>
        <v/>
      </c>
      <c r="H36" s="19" t="str">
        <f aca="false">IF(OR(D36="",E36=""),"",IF(D36=0,"",E36/D36))</f>
        <v/>
      </c>
      <c r="I36" s="20" t="str">
        <f aca="false">IF(C36="","",RANK(C36,$C$5:$C$38))</f>
        <v/>
      </c>
      <c r="J36" s="20" t="str">
        <f aca="false">IF(D36="","",RANK(D36,$D$5:$D$38))</f>
        <v/>
      </c>
      <c r="K36" s="20" t="str">
        <f aca="false">IF(E36="","",RANK(E36,$E$5:$E$38))</f>
        <v/>
      </c>
      <c r="L36" s="20" t="str">
        <f aca="false">IF(F36="","",RANK(F36,$F$5:$F$38))</f>
        <v/>
      </c>
      <c r="M36" s="20" t="str">
        <f aca="false">IF(C36="","",RANK(C36,$C$5:$C$38)+COUNTIF($C$4:C35,C36))</f>
        <v/>
      </c>
      <c r="N36" s="20" t="str">
        <f aca="false">IF(D36="","",RANK(D36,$D$5:$D$38)+COUNTIF($D$4:D35,D36))</f>
        <v/>
      </c>
      <c r="O36" s="20" t="str">
        <f aca="false">IF(E36="","",RANK(E36,$E$5:$E$38)+COUNTIF($E$4:E35,E36))</f>
        <v/>
      </c>
      <c r="P36" s="20" t="str">
        <f aca="false">IF(F36="","",RANK(F36,$F$5:$F$38)+COUNTIF($F$4:F35,F36))</f>
        <v/>
      </c>
    </row>
    <row r="37" customFormat="false" ht="15" hidden="false" customHeight="false" outlineLevel="0" collapsed="false">
      <c r="A37" s="3" t="str">
        <f aca="false">통합데이터!A39</f>
        <v>기업활동·후원</v>
      </c>
      <c r="B37" s="3" t="str">
        <f aca="false">통합데이터!B39</f>
        <v>TV프로그램/영화 제작 투자</v>
      </c>
      <c r="C37" s="16" t="n">
        <f aca="false">IF(통합데이터!E39="","",통합데이터!E39)</f>
        <v>12.1</v>
      </c>
      <c r="D37" s="16" t="n">
        <f aca="false">IF(통합데이터!H39="","",통합데이터!H39)</f>
        <v>9</v>
      </c>
      <c r="E37" s="16" t="n">
        <f aca="false">IF(통합데이터!K39="","",통합데이터!K39)</f>
        <v>2.5</v>
      </c>
      <c r="F37" s="16" t="n">
        <f aca="false">IF(COUNT(C37:E37)=3,AVERAGE(C37:E37),"")</f>
        <v>7.86666666666667</v>
      </c>
      <c r="G37" s="19" t="n">
        <f aca="false">IF(OR(C37="",E37=""),"",IF(C37=0,"",E37/C37))</f>
        <v>0.206611570247934</v>
      </c>
      <c r="H37" s="19" t="n">
        <f aca="false">IF(OR(D37="",E37=""),"",IF(D37=0,"",E37/D37))</f>
        <v>0.277777777777778</v>
      </c>
      <c r="I37" s="20" t="n">
        <f aca="false">IF(C37="","",RANK(C37,$C$5:$C$38))</f>
        <v>31</v>
      </c>
      <c r="J37" s="20" t="n">
        <f aca="false">IF(D37="","",RANK(D37,$D$5:$D$38))</f>
        <v>26</v>
      </c>
      <c r="K37" s="20" t="n">
        <f aca="false">IF(E37="","",RANK(E37,$E$5:$E$38))</f>
        <v>32</v>
      </c>
      <c r="L37" s="20" t="n">
        <f aca="false">IF(F37="","",RANK(F37,$F$5:$F$38))</f>
        <v>31</v>
      </c>
      <c r="M37" s="20" t="n">
        <f aca="false">IF(C37="","",RANK(C37,$C$5:$C$38)+COUNTIF($C$4:C36,C37))</f>
        <v>31</v>
      </c>
      <c r="N37" s="20" t="n">
        <f aca="false">IF(D37="","",RANK(D37,$D$5:$D$38)+COUNTIF($D$4:D36,D37))</f>
        <v>26</v>
      </c>
      <c r="O37" s="20" t="n">
        <f aca="false">IF(E37="","",RANK(E37,$E$5:$E$38)+COUNTIF($E$4:E36,E37))</f>
        <v>33</v>
      </c>
      <c r="P37" s="20" t="n">
        <f aca="false">IF(F37="","",RANK(F37,$F$5:$F$38)+COUNTIF($F$4:F36,F37))</f>
        <v>31</v>
      </c>
    </row>
    <row r="38" customFormat="false" ht="15" hidden="false" customHeight="false" outlineLevel="0" collapsed="false">
      <c r="A38" s="3" t="str">
        <f aca="false">통합데이터!A40</f>
        <v>기업활동·후원</v>
      </c>
      <c r="B38" s="3" t="str">
        <f aca="false">통합데이터!B40</f>
        <v>신제품발표회/무역박람회/전시회</v>
      </c>
      <c r="C38" s="16" t="n">
        <f aca="false">IF(통합데이터!E40="","",통합데이터!E40)</f>
        <v>10.6</v>
      </c>
      <c r="D38" s="16" t="n">
        <f aca="false">IF(통합데이터!H40="","",통합데이터!H40)</f>
        <v>10.1</v>
      </c>
      <c r="E38" s="16" t="n">
        <f aca="false">IF(통합데이터!K40="","",통합데이터!K40)</f>
        <v>2.7</v>
      </c>
      <c r="F38" s="16" t="n">
        <f aca="false">IF(COUNT(C38:E38)=3,AVERAGE(C38:E38),"")</f>
        <v>7.8</v>
      </c>
      <c r="G38" s="19" t="n">
        <f aca="false">IF(OR(C38="",E38=""),"",IF(C38=0,"",E38/C38))</f>
        <v>0.254716981132075</v>
      </c>
      <c r="H38" s="19" t="n">
        <f aca="false">IF(OR(D38="",E38=""),"",IF(D38=0,"",E38/D38))</f>
        <v>0.267326732673267</v>
      </c>
      <c r="I38" s="20" t="n">
        <f aca="false">IF(C38="","",RANK(C38,$C$5:$C$38))</f>
        <v>33</v>
      </c>
      <c r="J38" s="20" t="n">
        <f aca="false">IF(D38="","",RANK(D38,$D$5:$D$38))</f>
        <v>24</v>
      </c>
      <c r="K38" s="20" t="n">
        <f aca="false">IF(E38="","",RANK(E38,$E$5:$E$38))</f>
        <v>31</v>
      </c>
      <c r="L38" s="20" t="n">
        <f aca="false">IF(F38="","",RANK(F38,$F$5:$F$38))</f>
        <v>32</v>
      </c>
      <c r="M38" s="20" t="n">
        <f aca="false">IF(C38="","",RANK(C38,$C$5:$C$38)+COUNTIF($C$4:C37,C38))</f>
        <v>33</v>
      </c>
      <c r="N38" s="20" t="n">
        <f aca="false">IF(D38="","",RANK(D38,$D$5:$D$38)+COUNTIF($D$4:D37,D38))</f>
        <v>25</v>
      </c>
      <c r="O38" s="20" t="n">
        <f aca="false">IF(E38="","",RANK(E38,$E$5:$E$38)+COUNTIF($E$4:E37,E38))</f>
        <v>31</v>
      </c>
      <c r="P38" s="20" t="n">
        <f aca="false">IF(F38="","",RANK(F38,$F$5:$F$38)+COUNTIF($F$4:F37,F38))</f>
        <v>32</v>
      </c>
    </row>
    <row r="40" customFormat="false" ht="15" hidden="false" customHeight="false" outlineLevel="0" collapsed="false">
      <c r="A40" s="6" t="s">
        <v>93</v>
      </c>
    </row>
  </sheetData>
  <conditionalFormatting sqref="C5:C38">
    <cfRule type="expression" priority="2" aboveAverage="0" equalAverage="0" bottom="0" percent="0" rank="0" text="" dxfId="0">
      <formula>AND(ISNUMBER(I5),I5&lt;=5)</formula>
    </cfRule>
  </conditionalFormatting>
  <conditionalFormatting sqref="D5:D38">
    <cfRule type="expression" priority="3" aboveAverage="0" equalAverage="0" bottom="0" percent="0" rank="0" text="" dxfId="0">
      <formula>AND(ISNUMBER(J5),J5&lt;=5)</formula>
    </cfRule>
  </conditionalFormatting>
  <conditionalFormatting sqref="E5:E38">
    <cfRule type="expression" priority="4" aboveAverage="0" equalAverage="0" bottom="0" percent="0" rank="0" text="" dxfId="0">
      <formula>AND(ISNUMBER(K5),K5&lt;=5)</formula>
    </cfRule>
  </conditionalFormatting>
  <conditionalFormatting sqref="F5:F38">
    <cfRule type="expression" priority="5" aboveAverage="0" equalAverage="0" bottom="0" percent="0" rank="0" text="" dxfId="0">
      <formula>AND(ISNUMBER(L5),L5&lt;=5)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2"/>
    <col collapsed="false" customWidth="true" hidden="false" outlineLevel="0" max="5" min="5" style="0" width="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2"/>
    <col collapsed="false" customWidth="true" hidden="false" outlineLevel="0" max="9" min="9" style="0" width="6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2"/>
    <col collapsed="false" customWidth="true" hidden="false" outlineLevel="0" max="13" min="13" style="0" width="6"/>
    <col collapsed="false" customWidth="true" hidden="false" outlineLevel="0" max="14" min="14" style="0" width="34"/>
    <col collapsed="false" customWidth="true" hidden="false" outlineLevel="0" max="15" min="15" style="0" width="9"/>
  </cols>
  <sheetData>
    <row r="1" customFormat="false" ht="21.6" hidden="false" customHeight="false" outlineLevel="0" collapsed="false">
      <c r="A1" s="1" t="s">
        <v>96</v>
      </c>
    </row>
    <row r="2" customFormat="false" ht="15" hidden="false" customHeight="false" outlineLevel="0" collapsed="false">
      <c r="A2" s="6" t="s">
        <v>97</v>
      </c>
    </row>
    <row r="4" customFormat="false" ht="19.4" hidden="false" customHeight="false" outlineLevel="0" collapsed="false">
      <c r="A4" s="21" t="s">
        <v>98</v>
      </c>
    </row>
    <row r="5" customFormat="false" ht="15" hidden="false" customHeight="true" outlineLevel="0" collapsed="false">
      <c r="A5" s="8" t="s">
        <v>99</v>
      </c>
      <c r="B5" s="8"/>
      <c r="C5" s="8"/>
      <c r="E5" s="9" t="s">
        <v>100</v>
      </c>
      <c r="F5" s="9"/>
      <c r="G5" s="9"/>
      <c r="I5" s="10" t="s">
        <v>101</v>
      </c>
      <c r="J5" s="10"/>
      <c r="K5" s="10"/>
      <c r="M5" s="22" t="s">
        <v>102</v>
      </c>
      <c r="N5" s="22"/>
      <c r="O5" s="22"/>
    </row>
    <row r="6" customFormat="false" ht="15" hidden="false" customHeight="false" outlineLevel="0" collapsed="false">
      <c r="A6" s="8" t="s">
        <v>103</v>
      </c>
      <c r="B6" s="8" t="s">
        <v>104</v>
      </c>
      <c r="C6" s="8" t="s">
        <v>105</v>
      </c>
      <c r="E6" s="9" t="s">
        <v>103</v>
      </c>
      <c r="F6" s="9" t="s">
        <v>104</v>
      </c>
      <c r="G6" s="9" t="s">
        <v>105</v>
      </c>
      <c r="I6" s="10" t="s">
        <v>103</v>
      </c>
      <c r="J6" s="10" t="s">
        <v>104</v>
      </c>
      <c r="K6" s="10" t="s">
        <v>105</v>
      </c>
      <c r="M6" s="23" t="s">
        <v>103</v>
      </c>
      <c r="N6" s="23" t="s">
        <v>104</v>
      </c>
      <c r="O6" s="23" t="s">
        <v>105</v>
      </c>
    </row>
    <row r="7" customFormat="false" ht="15" hidden="false" customHeight="false" outlineLevel="0" collapsed="false">
      <c r="A7" s="20" t="n">
        <v>1</v>
      </c>
      <c r="B7" s="3" t="str">
        <f aca="false">INDEX(2017_접점비교!$B$5:$B$38,MATCH(A7,2017_접점비교!$M$5:$M$38,0))</f>
        <v>TV 광고</v>
      </c>
      <c r="C7" s="16" t="n">
        <f aca="false">INDEX(2017_접점비교!$C$5:$C$38,MATCH(A7,2017_접점비교!$M$5:$M$38,0))</f>
        <v>77.7</v>
      </c>
      <c r="E7" s="20" t="n">
        <v>1</v>
      </c>
      <c r="F7" s="3" t="str">
        <f aca="false">INDEX(2017_접점비교!$B$5:$B$38,MATCH(E7,2017_접점비교!$N$5:$N$38,0))</f>
        <v>TV 광고</v>
      </c>
      <c r="G7" s="16" t="n">
        <f aca="false">INDEX(2017_접점비교!$D$5:$D$38,MATCH(E7,2017_접점비교!$N$5:$N$38,0))</f>
        <v>62.6</v>
      </c>
      <c r="I7" s="20" t="n">
        <v>1</v>
      </c>
      <c r="J7" s="3" t="str">
        <f aca="false">INDEX(2017_접점비교!$B$5:$B$38,MATCH(I7,2017_접점비교!$O$5:$O$38,0))</f>
        <v>주변사람(친구/가족/동료)의 추천</v>
      </c>
      <c r="K7" s="16" t="n">
        <f aca="false">INDEX(2017_접점비교!$E$5:$E$38,MATCH(I7,2017_접점비교!$O$5:$O$38,0))</f>
        <v>62</v>
      </c>
      <c r="M7" s="20" t="n">
        <v>1</v>
      </c>
      <c r="N7" s="3" t="str">
        <f aca="false">INDEX(2017_접점비교!$B$5:$B$38,MATCH(M7,2017_접점비교!$P$5:$P$38,0))</f>
        <v>TV 광고</v>
      </c>
      <c r="O7" s="16" t="n">
        <f aca="false">INDEX(2017_접점비교!$F$5:$F$38,MATCH(M7,2017_접점비교!$P$5:$P$38,0))</f>
        <v>63.9666666666667</v>
      </c>
    </row>
    <row r="8" customFormat="false" ht="15" hidden="false" customHeight="false" outlineLevel="0" collapsed="false">
      <c r="A8" s="20" t="n">
        <v>2</v>
      </c>
      <c r="B8" s="3" t="str">
        <f aca="false">INDEX(2017_접점비교!$B$5:$B$38,MATCH(A8,2017_접점비교!$M$5:$M$38,0))</f>
        <v>회사의 사회공헌 및 기여활동</v>
      </c>
      <c r="C8" s="16" t="n">
        <f aca="false">INDEX(2017_접점비교!$C$5:$C$38,MATCH(A8,2017_접점비교!$M$5:$M$38,0))</f>
        <v>61.8</v>
      </c>
      <c r="E8" s="20" t="n">
        <v>2</v>
      </c>
      <c r="F8" s="3" t="str">
        <f aca="false">INDEX(2017_접점비교!$B$5:$B$38,MATCH(E8,2017_접점비교!$N$5:$N$38,0))</f>
        <v>주변사람(친구/가족/동료)의 추천</v>
      </c>
      <c r="G8" s="16" t="n">
        <f aca="false">INDEX(2017_접점비교!$D$5:$D$38,MATCH(E8,2017_접점비교!$N$5:$N$38,0))</f>
        <v>44.7</v>
      </c>
      <c r="I8" s="20" t="n">
        <v>2</v>
      </c>
      <c r="J8" s="3" t="str">
        <f aca="false">INDEX(2017_접점비교!$B$5:$B$38,MATCH(I8,2017_접점비교!$O$5:$O$38,0))</f>
        <v>TV 광고</v>
      </c>
      <c r="K8" s="16" t="n">
        <f aca="false">INDEX(2017_접점비교!$E$5:$E$38,MATCH(I8,2017_접점비교!$O$5:$O$38,0))</f>
        <v>51.6</v>
      </c>
      <c r="M8" s="20" t="n">
        <v>2</v>
      </c>
      <c r="N8" s="3" t="str">
        <f aca="false">INDEX(2017_접점비교!$B$5:$B$38,MATCH(M8,2017_접점비교!$P$5:$P$38,0))</f>
        <v>주변사람(친구/가족/동료)의 추천</v>
      </c>
      <c r="O8" s="16" t="n">
        <f aca="false">INDEX(2017_접점비교!$F$5:$F$38,MATCH(M8,2017_접점비교!$P$5:$P$38,0))</f>
        <v>51.2666666666667</v>
      </c>
    </row>
    <row r="9" customFormat="false" ht="15" hidden="false" customHeight="false" outlineLevel="0" collapsed="false">
      <c r="A9" s="20" t="n">
        <v>3</v>
      </c>
      <c r="B9" s="3" t="str">
        <f aca="false">INDEX(2017_접점비교!$B$5:$B$38,MATCH(A9,2017_접점비교!$M$5:$M$38,0))</f>
        <v>주변사람(친구/가족/동료)의 추천</v>
      </c>
      <c r="C9" s="16" t="n">
        <f aca="false">INDEX(2017_접점비교!$C$5:$C$38,MATCH(A9,2017_접점비교!$M$5:$M$38,0))</f>
        <v>47.1</v>
      </c>
      <c r="E9" s="20" t="n">
        <v>3</v>
      </c>
      <c r="F9" s="3" t="str">
        <f aca="false">INDEX(2017_접점비교!$B$5:$B$38,MATCH(E9,2017_접점비교!$N$5:$N$38,0))</f>
        <v>매장 내 진열제품 및 제품정보</v>
      </c>
      <c r="G9" s="16" t="n">
        <f aca="false">INDEX(2017_접점비교!$D$5:$D$38,MATCH(E9,2017_접점비교!$N$5:$N$38,0))</f>
        <v>35.5</v>
      </c>
      <c r="I9" s="20" t="n">
        <v>3</v>
      </c>
      <c r="J9" s="3" t="str">
        <f aca="false">INDEX(2017_접점비교!$B$5:$B$38,MATCH(I9,2017_접점비교!$O$5:$O$38,0))</f>
        <v>판매원(점원) 추천</v>
      </c>
      <c r="K9" s="16" t="n">
        <f aca="false">INDEX(2017_접점비교!$E$5:$E$38,MATCH(I9,2017_접점비교!$O$5:$O$38,0))</f>
        <v>41.5</v>
      </c>
      <c r="M9" s="20" t="n">
        <v>3</v>
      </c>
      <c r="N9" s="3" t="str">
        <f aca="false">INDEX(2017_접점비교!$B$5:$B$38,MATCH(M9,2017_접점비교!$P$5:$P$38,0))</f>
        <v>샘플/구매 사은품</v>
      </c>
      <c r="O9" s="16" t="n">
        <f aca="false">INDEX(2017_접점비교!$F$5:$F$38,MATCH(M9,2017_접점비교!$P$5:$P$38,0))</f>
        <v>36.1</v>
      </c>
    </row>
    <row r="10" customFormat="false" ht="15" hidden="false" customHeight="false" outlineLevel="0" collapsed="false">
      <c r="A10" s="20" t="n">
        <v>4</v>
      </c>
      <c r="B10" s="3" t="str">
        <f aca="false">INDEX(2017_접점비교!$B$5:$B$38,MATCH(A10,2017_접점비교!$M$5:$M$38,0))</f>
        <v>샘플/구매 사은품</v>
      </c>
      <c r="C10" s="16" t="n">
        <f aca="false">INDEX(2017_접점비교!$C$5:$C$38,MATCH(A10,2017_접점비교!$M$5:$M$38,0))</f>
        <v>46.5</v>
      </c>
      <c r="E10" s="20" t="n">
        <v>4</v>
      </c>
      <c r="F10" s="3" t="str">
        <f aca="false">INDEX(2017_접점비교!$B$5:$B$38,MATCH(E10,2017_접점비교!$N$5:$N$38,0))</f>
        <v>드라마 등 TV프로그램 속 간접광고(PPL)</v>
      </c>
      <c r="G10" s="16" t="n">
        <f aca="false">INDEX(2017_접점비교!$D$5:$D$38,MATCH(E10,2017_접점비교!$N$5:$N$38,0))</f>
        <v>33.4</v>
      </c>
      <c r="I10" s="20" t="n">
        <v>4</v>
      </c>
      <c r="J10" s="3" t="str">
        <f aca="false">INDEX(2017_접점비교!$B$5:$B$38,MATCH(I10,2017_접점비교!$O$5:$O$38,0))</f>
        <v>매장 내 진열제품 및 제품정보</v>
      </c>
      <c r="K10" s="16" t="n">
        <f aca="false">INDEX(2017_접점비교!$E$5:$E$38,MATCH(I10,2017_접점비교!$O$5:$O$38,0))</f>
        <v>37.5</v>
      </c>
      <c r="M10" s="20" t="n">
        <v>4</v>
      </c>
      <c r="N10" s="3" t="str">
        <f aca="false">INDEX(2017_접점비교!$B$5:$B$38,MATCH(M10,2017_접점비교!$P$5:$P$38,0))</f>
        <v>판매원(점원) 추천</v>
      </c>
      <c r="O10" s="16" t="n">
        <f aca="false">INDEX(2017_접점비교!$F$5:$F$38,MATCH(M10,2017_접점비교!$P$5:$P$38,0))</f>
        <v>34.8</v>
      </c>
    </row>
    <row r="11" customFormat="false" ht="15" hidden="false" customHeight="false" outlineLevel="0" collapsed="false">
      <c r="A11" s="20" t="n">
        <v>5</v>
      </c>
      <c r="B11" s="3" t="str">
        <f aca="false">INDEX(2017_접점비교!$B$5:$B$38,MATCH(A11,2017_접점비교!$M$5:$M$38,0))</f>
        <v>쿠폰/프로모션 등 행사 및 이벤트</v>
      </c>
      <c r="C11" s="16" t="n">
        <f aca="false">INDEX(2017_접점비교!$C$5:$C$38,MATCH(A11,2017_접점비교!$M$5:$M$38,0))</f>
        <v>36.8</v>
      </c>
      <c r="E11" s="20" t="n">
        <v>5</v>
      </c>
      <c r="F11" s="3" t="str">
        <f aca="false">INDEX(2017_접점비교!$B$5:$B$38,MATCH(E11,2017_접점비교!$N$5:$N$38,0))</f>
        <v>판매원(점원) 추천</v>
      </c>
      <c r="G11" s="16" t="n">
        <f aca="false">INDEX(2017_접점비교!$D$5:$D$38,MATCH(E11,2017_접점비교!$N$5:$N$38,0))</f>
        <v>29.9</v>
      </c>
      <c r="I11" s="20" t="n">
        <v>5</v>
      </c>
      <c r="J11" s="3" t="str">
        <f aca="false">INDEX(2017_접점비교!$B$5:$B$38,MATCH(I11,2017_접점비교!$O$5:$O$38,0))</f>
        <v>샘플/구매 사은품</v>
      </c>
      <c r="K11" s="16" t="n">
        <f aca="false">INDEX(2017_접점비교!$E$5:$E$38,MATCH(I11,2017_접점비교!$O$5:$O$38,0))</f>
        <v>34</v>
      </c>
      <c r="M11" s="20" t="n">
        <v>5</v>
      </c>
      <c r="N11" s="3" t="str">
        <f aca="false">INDEX(2017_접점비교!$B$5:$B$38,MATCH(M11,2017_접점비교!$P$5:$P$38,0))</f>
        <v>매장 내 진열제품 및 제품정보</v>
      </c>
      <c r="O11" s="16" t="n">
        <f aca="false">INDEX(2017_접점비교!$F$5:$F$38,MATCH(M11,2017_접점비교!$P$5:$P$38,0))</f>
        <v>34.6</v>
      </c>
    </row>
    <row r="12" customFormat="false" ht="15" hidden="false" customHeight="false" outlineLevel="0" collapsed="false">
      <c r="A12" s="20" t="n">
        <v>6</v>
      </c>
      <c r="B12" s="3" t="str">
        <f aca="false">INDEX(2017_접점비교!$B$5:$B$38,MATCH(A12,2017_접점비교!$M$5:$M$38,0))</f>
        <v>매장 내 광고(POP)</v>
      </c>
      <c r="C12" s="16" t="n">
        <f aca="false">INDEX(2017_접점비교!$C$5:$C$38,MATCH(A12,2017_접점비교!$M$5:$M$38,0))</f>
        <v>35.6</v>
      </c>
      <c r="E12" s="20" t="n">
        <v>6</v>
      </c>
      <c r="F12" s="3" t="str">
        <f aca="false">INDEX(2017_접점비교!$B$5:$B$38,MATCH(E12,2017_접점비교!$N$5:$N$38,0))</f>
        <v>샘플/구매 사은품</v>
      </c>
      <c r="G12" s="16" t="n">
        <f aca="false">INDEX(2017_접점비교!$D$5:$D$38,MATCH(E12,2017_접점비교!$N$5:$N$38,0))</f>
        <v>27.8</v>
      </c>
      <c r="I12" s="20" t="n">
        <v>6</v>
      </c>
      <c r="J12" s="3" t="str">
        <f aca="false">INDEX(2017_접점비교!$B$5:$B$38,MATCH(I12,2017_접점비교!$O$5:$O$38,0))</f>
        <v>쿠폰/프로모션 등 행사 및 이벤트</v>
      </c>
      <c r="K12" s="16" t="n">
        <f aca="false">INDEX(2017_접점비교!$E$5:$E$38,MATCH(I12,2017_접점비교!$O$5:$O$38,0))</f>
        <v>29.3</v>
      </c>
      <c r="M12" s="20" t="n">
        <v>6</v>
      </c>
      <c r="N12" s="3" t="str">
        <f aca="false">INDEX(2017_접점비교!$B$5:$B$38,MATCH(M12,2017_접점비교!$P$5:$P$38,0))</f>
        <v>쿠폰/프로모션 등 행사 및 이벤트</v>
      </c>
      <c r="O12" s="16" t="n">
        <f aca="false">INDEX(2017_접점비교!$F$5:$F$38,MATCH(M12,2017_접점비교!$P$5:$P$38,0))</f>
        <v>30.8</v>
      </c>
    </row>
    <row r="13" customFormat="false" ht="15" hidden="false" customHeight="false" outlineLevel="0" collapsed="false">
      <c r="A13" s="20" t="n">
        <v>7</v>
      </c>
      <c r="B13" s="3" t="str">
        <f aca="false">INDEX(2017_접점비교!$B$5:$B$38,MATCH(A13,2017_접점비교!$M$5:$M$38,0))</f>
        <v>광고 우편물/명세서 등</v>
      </c>
      <c r="C13" s="16" t="n">
        <f aca="false">INDEX(2017_접점비교!$C$5:$C$38,MATCH(A13,2017_접점비교!$M$5:$M$38,0))</f>
        <v>35.2</v>
      </c>
      <c r="E13" s="20" t="n">
        <v>7</v>
      </c>
      <c r="F13" s="3" t="str">
        <f aca="false">INDEX(2017_접점비교!$B$5:$B$38,MATCH(E13,2017_접점비교!$N$5:$N$38,0))</f>
        <v>제품 카달로그/전단지</v>
      </c>
      <c r="G13" s="16" t="n">
        <f aca="false">INDEX(2017_접점비교!$D$5:$D$38,MATCH(E13,2017_접점비교!$N$5:$N$38,0))</f>
        <v>26.7</v>
      </c>
      <c r="I13" s="20" t="n">
        <v>7</v>
      </c>
      <c r="J13" s="3" t="str">
        <f aca="false">INDEX(2017_접점비교!$B$5:$B$38,MATCH(I13,2017_접점비교!$O$5:$O$38,0))</f>
        <v>SNS, 블로그 사용자 후기 및 전문가 리뷰</v>
      </c>
      <c r="K13" s="16" t="n">
        <f aca="false">INDEX(2017_접점비교!$E$5:$E$38,MATCH(I13,2017_접점비교!$O$5:$O$38,0))</f>
        <v>23.4</v>
      </c>
      <c r="M13" s="20" t="n">
        <v>7</v>
      </c>
      <c r="N13" s="3" t="str">
        <f aca="false">INDEX(2017_접점비교!$B$5:$B$38,MATCH(M13,2017_접점비교!$P$5:$P$38,0))</f>
        <v>회사의 사회공헌 및 기여활동</v>
      </c>
      <c r="O13" s="16" t="n">
        <f aca="false">INDEX(2017_접점비교!$F$5:$F$38,MATCH(M13,2017_접점비교!$P$5:$P$38,0))</f>
        <v>29.1333333333333</v>
      </c>
    </row>
    <row r="14" customFormat="false" ht="15" hidden="false" customHeight="false" outlineLevel="0" collapsed="false">
      <c r="A14" s="20" t="n">
        <v>8</v>
      </c>
      <c r="B14" s="3" t="str">
        <f aca="false">INDEX(2017_접점비교!$B$5:$B$38,MATCH(A14,2017_접점비교!$M$5:$M$38,0))</f>
        <v>버스, 택시, 지하철 광고</v>
      </c>
      <c r="C14" s="16" t="n">
        <f aca="false">INDEX(2017_접점비교!$C$5:$C$38,MATCH(A14,2017_접점비교!$M$5:$M$38,0))</f>
        <v>35.1</v>
      </c>
      <c r="E14" s="20" t="n">
        <v>8</v>
      </c>
      <c r="F14" s="3" t="str">
        <f aca="false">INDEX(2017_접점비교!$B$5:$B$38,MATCH(E14,2017_접점비교!$N$5:$N$38,0))</f>
        <v>쿠폰/프로모션 등 행사 및 이벤트</v>
      </c>
      <c r="G14" s="16" t="n">
        <f aca="false">INDEX(2017_접점비교!$D$5:$D$38,MATCH(E14,2017_접점비교!$N$5:$N$38,0))</f>
        <v>26.3</v>
      </c>
      <c r="I14" s="20" t="n">
        <v>8</v>
      </c>
      <c r="J14" s="3" t="str">
        <f aca="false">INDEX(2017_접점비교!$B$5:$B$38,MATCH(I14,2017_접점비교!$O$5:$O$38,0))</f>
        <v>포털 카페 및 커뮤니티(네이버, 다음 등)</v>
      </c>
      <c r="K14" s="16" t="n">
        <f aca="false">INDEX(2017_접점비교!$E$5:$E$38,MATCH(I14,2017_접점비교!$O$5:$O$38,0))</f>
        <v>22.9</v>
      </c>
      <c r="M14" s="20" t="n">
        <v>8</v>
      </c>
      <c r="N14" s="3" t="str">
        <f aca="false">INDEX(2017_접점비교!$B$5:$B$38,MATCH(M14,2017_접점비교!$P$5:$P$38,0))</f>
        <v>매장 내 광고(POP)</v>
      </c>
      <c r="O14" s="16" t="n">
        <f aca="false">INDEX(2017_접점비교!$F$5:$F$38,MATCH(M14,2017_접점비교!$P$5:$P$38,0))</f>
        <v>25.9333333333333</v>
      </c>
    </row>
    <row r="15" customFormat="false" ht="29.85" hidden="false" customHeight="false" outlineLevel="0" collapsed="false">
      <c r="A15" s="20" t="n">
        <v>9</v>
      </c>
      <c r="B15" s="3" t="str">
        <f aca="false">INDEX(2017_접점비교!$B$5:$B$38,MATCH(A15,2017_접점비교!$M$5:$M$38,0))</f>
        <v>SNS(페이스북, 인스타그램, 트위터 등) 광고/홍보</v>
      </c>
      <c r="C15" s="16" t="n">
        <f aca="false">INDEX(2017_접점비교!$C$5:$C$38,MATCH(A15,2017_접점비교!$M$5:$M$38,0))</f>
        <v>34.7</v>
      </c>
      <c r="E15" s="20" t="n">
        <v>9</v>
      </c>
      <c r="F15" s="3" t="str">
        <f aca="false">INDEX(2017_접점비교!$B$5:$B$38,MATCH(E15,2017_접점비교!$N$5:$N$38,0))</f>
        <v>건물 외벽/옥상, 역사 및 정류장 광고</v>
      </c>
      <c r="G15" s="16" t="n">
        <f aca="false">INDEX(2017_접점비교!$D$5:$D$38,MATCH(E15,2017_접점비교!$N$5:$N$38,0))</f>
        <v>25.8</v>
      </c>
      <c r="I15" s="20" t="n">
        <v>9</v>
      </c>
      <c r="J15" s="3" t="str">
        <f aca="false">INDEX(2017_접점비교!$B$5:$B$38,MATCH(I15,2017_접점비교!$O$5:$O$38,0))</f>
        <v>드라마 등 TV프로그램 속 간접광고(PPL)</v>
      </c>
      <c r="K15" s="16" t="n">
        <f aca="false">INDEX(2017_접점비교!$E$5:$E$38,MATCH(I15,2017_접점비교!$O$5:$O$38,0))</f>
        <v>20.7</v>
      </c>
      <c r="M15" s="20" t="n">
        <v>9</v>
      </c>
      <c r="N15" s="3" t="str">
        <f aca="false">INDEX(2017_접점비교!$B$5:$B$38,MATCH(M15,2017_접점비교!$P$5:$P$38,0))</f>
        <v>포털 카페 및 커뮤니티(네이버, 다음 등)</v>
      </c>
      <c r="O15" s="16" t="n">
        <f aca="false">INDEX(2017_접점비교!$F$5:$F$38,MATCH(M15,2017_접점비교!$P$5:$P$38,0))</f>
        <v>25.1</v>
      </c>
    </row>
    <row r="16" customFormat="false" ht="15" hidden="false" customHeight="false" outlineLevel="0" collapsed="false">
      <c r="A16" s="20" t="n">
        <v>10</v>
      </c>
      <c r="B16" s="3" t="str">
        <f aca="false">INDEX(2017_접점비교!$B$5:$B$38,MATCH(A16,2017_접점비교!$M$5:$M$38,0))</f>
        <v>라디오 광고</v>
      </c>
      <c r="C16" s="16" t="n">
        <f aca="false">INDEX(2017_접점비교!$C$5:$C$38,MATCH(A16,2017_접점비교!$M$5:$M$38,0))</f>
        <v>34</v>
      </c>
      <c r="E16" s="20" t="n">
        <v>10</v>
      </c>
      <c r="F16" s="3" t="str">
        <f aca="false">INDEX(2017_접점비교!$B$5:$B$38,MATCH(E16,2017_접점비교!$N$5:$N$38,0))</f>
        <v>매장 내 광고(POP)</v>
      </c>
      <c r="G16" s="16" t="n">
        <f aca="false">INDEX(2017_접점비교!$D$5:$D$38,MATCH(E16,2017_접점비교!$N$5:$N$38,0))</f>
        <v>25.5</v>
      </c>
      <c r="I16" s="20" t="n">
        <v>10</v>
      </c>
      <c r="J16" s="3" t="str">
        <f aca="false">INDEX(2017_접점비교!$B$5:$B$38,MATCH(I16,2017_접점비교!$O$5:$O$38,0))</f>
        <v>가격비교사이트 및 제품 관련 전문사이트</v>
      </c>
      <c r="K16" s="16" t="n">
        <f aca="false">INDEX(2017_접점비교!$E$5:$E$38,MATCH(I16,2017_접점비교!$O$5:$O$38,0))</f>
        <v>19.4</v>
      </c>
      <c r="M16" s="20" t="n">
        <v>10</v>
      </c>
      <c r="N16" s="3" t="str">
        <f aca="false">INDEX(2017_접점비교!$B$5:$B$38,MATCH(M16,2017_접점비교!$P$5:$P$38,0))</f>
        <v>가격비교사이트 및 제품 관련 전문사이트</v>
      </c>
      <c r="O16" s="16" t="n">
        <f aca="false">INDEX(2017_접점비교!$F$5:$F$38,MATCH(M16,2017_접점비교!$P$5:$P$38,0))</f>
        <v>23.7666666666667</v>
      </c>
    </row>
    <row r="20" customFormat="false" ht="19.4" hidden="false" customHeight="false" outlineLevel="0" collapsed="false">
      <c r="A20" s="21" t="s">
        <v>106</v>
      </c>
    </row>
    <row r="21" customFormat="false" ht="15" hidden="false" customHeight="true" outlineLevel="0" collapsed="false">
      <c r="A21" s="8" t="s">
        <v>99</v>
      </c>
      <c r="B21" s="8"/>
      <c r="C21" s="8"/>
      <c r="E21" s="9" t="s">
        <v>100</v>
      </c>
      <c r="F21" s="9"/>
      <c r="G21" s="9"/>
      <c r="I21" s="10" t="s">
        <v>101</v>
      </c>
      <c r="J21" s="10"/>
      <c r="K21" s="10"/>
      <c r="M21" s="22" t="s">
        <v>102</v>
      </c>
      <c r="N21" s="22"/>
      <c r="O21" s="22"/>
    </row>
    <row r="22" customFormat="false" ht="15" hidden="false" customHeight="false" outlineLevel="0" collapsed="false">
      <c r="A22" s="8" t="s">
        <v>103</v>
      </c>
      <c r="B22" s="8" t="s">
        <v>104</v>
      </c>
      <c r="C22" s="8" t="s">
        <v>105</v>
      </c>
      <c r="E22" s="9" t="s">
        <v>103</v>
      </c>
      <c r="F22" s="9" t="s">
        <v>104</v>
      </c>
      <c r="G22" s="9" t="s">
        <v>105</v>
      </c>
      <c r="I22" s="10" t="s">
        <v>103</v>
      </c>
      <c r="J22" s="10" t="s">
        <v>104</v>
      </c>
      <c r="K22" s="10" t="s">
        <v>105</v>
      </c>
      <c r="M22" s="23" t="s">
        <v>103</v>
      </c>
      <c r="N22" s="23" t="s">
        <v>104</v>
      </c>
      <c r="O22" s="23" t="s">
        <v>105</v>
      </c>
    </row>
    <row r="23" customFormat="false" ht="15" hidden="false" customHeight="false" outlineLevel="0" collapsed="false">
      <c r="A23" s="20" t="n">
        <v>1</v>
      </c>
      <c r="B23" s="3" t="str">
        <f aca="false">INDEX(2018_접점비교!$B$5:$B$38,MATCH(A23,2018_접점비교!$M$5:$M$38,0))</f>
        <v>TV 광고</v>
      </c>
      <c r="C23" s="16" t="n">
        <f aca="false">INDEX(2018_접점비교!$C$5:$C$38,MATCH(A23,2018_접점비교!$M$5:$M$38,0))</f>
        <v>75.8</v>
      </c>
      <c r="E23" s="20" t="n">
        <v>1</v>
      </c>
      <c r="F23" s="3" t="str">
        <f aca="false">INDEX(2018_접점비교!$B$5:$B$38,MATCH(E23,2018_접점비교!$N$5:$N$38,0))</f>
        <v>TV 광고</v>
      </c>
      <c r="G23" s="16" t="n">
        <f aca="false">INDEX(2018_접점비교!$D$5:$D$38,MATCH(E23,2018_접점비교!$N$5:$N$38,0))</f>
        <v>60.4</v>
      </c>
      <c r="I23" s="20" t="n">
        <v>1</v>
      </c>
      <c r="J23" s="3" t="str">
        <f aca="false">INDEX(2018_접점비교!$B$5:$B$38,MATCH(I23,2018_접점비교!$O$5:$O$38,0))</f>
        <v>주변사람(친구/가족/동료)의 추천</v>
      </c>
      <c r="K23" s="16" t="n">
        <f aca="false">INDEX(2018_접점비교!$E$5:$E$38,MATCH(I23,2018_접점비교!$O$5:$O$38,0))</f>
        <v>60.4</v>
      </c>
      <c r="M23" s="20" t="n">
        <v>1</v>
      </c>
      <c r="N23" s="3" t="str">
        <f aca="false">INDEX(2018_접점비교!$B$5:$B$38,MATCH(M23,2018_접점비교!$P$5:$P$38,0))</f>
        <v>TV 광고</v>
      </c>
      <c r="O23" s="16" t="n">
        <f aca="false">INDEX(2018_접점비교!$F$5:$F$38,MATCH(M23,2018_접점비교!$P$5:$P$38,0))</f>
        <v>59.8666666666667</v>
      </c>
    </row>
    <row r="24" customFormat="false" ht="15" hidden="false" customHeight="false" outlineLevel="0" collapsed="false">
      <c r="A24" s="20" t="n">
        <v>2</v>
      </c>
      <c r="B24" s="3" t="str">
        <f aca="false">INDEX(2018_접점비교!$B$5:$B$38,MATCH(A24,2018_접점비교!$M$5:$M$38,0))</f>
        <v>주변사람(친구/가족/동료)의 추천</v>
      </c>
      <c r="C24" s="16" t="n">
        <f aca="false">INDEX(2018_접점비교!$C$5:$C$38,MATCH(A24,2018_접점비교!$M$5:$M$38,0))</f>
        <v>55.8</v>
      </c>
      <c r="E24" s="20" t="n">
        <v>2</v>
      </c>
      <c r="F24" s="3" t="str">
        <f aca="false">INDEX(2018_접점비교!$B$5:$B$38,MATCH(E24,2018_접점비교!$N$5:$N$38,0))</f>
        <v>주변사람(친구/가족/동료)의 추천</v>
      </c>
      <c r="G24" s="16" t="n">
        <f aca="false">INDEX(2018_접점비교!$D$5:$D$38,MATCH(E24,2018_접점비교!$N$5:$N$38,0))</f>
        <v>44</v>
      </c>
      <c r="I24" s="20" t="n">
        <v>2</v>
      </c>
      <c r="J24" s="3" t="str">
        <f aca="false">INDEX(2018_접점비교!$B$5:$B$38,MATCH(I24,2018_접점비교!$O$5:$O$38,0))</f>
        <v>TV 광고</v>
      </c>
      <c r="K24" s="16" t="n">
        <f aca="false">INDEX(2018_접점비교!$E$5:$E$38,MATCH(I24,2018_접점비교!$O$5:$O$38,0))</f>
        <v>43.4</v>
      </c>
      <c r="M24" s="20" t="n">
        <v>2</v>
      </c>
      <c r="N24" s="3" t="str">
        <f aca="false">INDEX(2018_접점비교!$B$5:$B$38,MATCH(M24,2018_접점비교!$P$5:$P$38,0))</f>
        <v>주변사람(친구/가족/동료)의 추천</v>
      </c>
      <c r="O24" s="16" t="n">
        <f aca="false">INDEX(2018_접점비교!$F$5:$F$38,MATCH(M24,2018_접점비교!$P$5:$P$38,0))</f>
        <v>53.4</v>
      </c>
    </row>
    <row r="25" customFormat="false" ht="15" hidden="false" customHeight="false" outlineLevel="0" collapsed="false">
      <c r="A25" s="20" t="n">
        <v>3</v>
      </c>
      <c r="B25" s="3" t="str">
        <f aca="false">INDEX(2018_접점비교!$B$5:$B$38,MATCH(A25,2018_접점비교!$M$5:$M$38,0))</f>
        <v>드라마 등 TV프로그램 속 간접광고(PPL)</v>
      </c>
      <c r="C25" s="16" t="n">
        <f aca="false">INDEX(2018_접점비교!$C$5:$C$38,MATCH(A25,2018_접점비교!$M$5:$M$38,0))</f>
        <v>44.2</v>
      </c>
      <c r="E25" s="20" t="n">
        <v>3</v>
      </c>
      <c r="F25" s="3" t="str">
        <f aca="false">INDEX(2018_접점비교!$B$5:$B$38,MATCH(E25,2018_접점비교!$N$5:$N$38,0))</f>
        <v>드라마 등 TV프로그램 속 간접광고(PPL)</v>
      </c>
      <c r="G25" s="16" t="n">
        <f aca="false">INDEX(2018_접점비교!$D$5:$D$38,MATCH(E25,2018_접점비교!$N$5:$N$38,0))</f>
        <v>36.3</v>
      </c>
      <c r="I25" s="20" t="n">
        <v>3</v>
      </c>
      <c r="J25" s="3" t="str">
        <f aca="false">INDEX(2018_접점비교!$B$5:$B$38,MATCH(I25,2018_접점비교!$O$5:$O$38,0))</f>
        <v>판매원(점원) 추천</v>
      </c>
      <c r="K25" s="16" t="n">
        <f aca="false">INDEX(2018_접점비교!$E$5:$E$38,MATCH(I25,2018_접점비교!$O$5:$O$38,0))</f>
        <v>41.2</v>
      </c>
      <c r="M25" s="20" t="n">
        <v>3</v>
      </c>
      <c r="N25" s="3" t="str">
        <f aca="false">INDEX(2018_접점비교!$B$5:$B$38,MATCH(M25,2018_접점비교!$P$5:$P$38,0))</f>
        <v>매장 내 진열제품 및 제품정보</v>
      </c>
      <c r="O25" s="16" t="n">
        <f aca="false">INDEX(2018_접점비교!$F$5:$F$38,MATCH(M25,2018_접점비교!$P$5:$P$38,0))</f>
        <v>35.9</v>
      </c>
    </row>
    <row r="26" customFormat="false" ht="15" hidden="false" customHeight="false" outlineLevel="0" collapsed="false">
      <c r="A26" s="20" t="n">
        <v>4</v>
      </c>
      <c r="B26" s="3" t="str">
        <f aca="false">INDEX(2018_접점비교!$B$5:$B$38,MATCH(A26,2018_접점비교!$M$5:$M$38,0))</f>
        <v>건물 외벽/옥상, 역사 및 정류장 광고</v>
      </c>
      <c r="C26" s="16" t="n">
        <f aca="false">INDEX(2018_접점비교!$C$5:$C$38,MATCH(A26,2018_접점비교!$M$5:$M$38,0))</f>
        <v>42</v>
      </c>
      <c r="E26" s="20" t="n">
        <v>4</v>
      </c>
      <c r="F26" s="3" t="str">
        <f aca="false">INDEX(2018_접점비교!$B$5:$B$38,MATCH(E26,2018_접점비교!$N$5:$N$38,0))</f>
        <v>매장 내 진열제품 및 제품정보</v>
      </c>
      <c r="G26" s="16" t="n">
        <f aca="false">INDEX(2018_접점비교!$D$5:$D$38,MATCH(E26,2018_접점비교!$N$5:$N$38,0))</f>
        <v>34.9</v>
      </c>
      <c r="I26" s="20" t="n">
        <v>4</v>
      </c>
      <c r="J26" s="3" t="str">
        <f aca="false">INDEX(2018_접점비교!$B$5:$B$38,MATCH(I26,2018_접점비교!$O$5:$O$38,0))</f>
        <v>매장 내 진열제품 및 제품정보</v>
      </c>
      <c r="K26" s="16" t="n">
        <f aca="false">INDEX(2018_접점비교!$E$5:$E$38,MATCH(I26,2018_접점비교!$O$5:$O$38,0))</f>
        <v>33.3</v>
      </c>
      <c r="M26" s="20" t="n">
        <v>4</v>
      </c>
      <c r="N26" s="3" t="str">
        <f aca="false">INDEX(2018_접점비교!$B$5:$B$38,MATCH(M26,2018_접점비교!$P$5:$P$38,0))</f>
        <v>판매원(점원) 추천</v>
      </c>
      <c r="O26" s="16" t="n">
        <f aca="false">INDEX(2018_접점비교!$F$5:$F$38,MATCH(M26,2018_접점비교!$P$5:$P$38,0))</f>
        <v>35.4666666666667</v>
      </c>
    </row>
    <row r="27" customFormat="false" ht="15" hidden="false" customHeight="false" outlineLevel="0" collapsed="false">
      <c r="A27" s="20" t="n">
        <v>5</v>
      </c>
      <c r="B27" s="3" t="str">
        <f aca="false">INDEX(2018_접점비교!$B$5:$B$38,MATCH(A27,2018_접점비교!$M$5:$M$38,0))</f>
        <v>매장 내 진열제품 및 제품정보</v>
      </c>
      <c r="C27" s="16" t="n">
        <f aca="false">INDEX(2018_접점비교!$C$5:$C$38,MATCH(A27,2018_접점비교!$M$5:$M$38,0))</f>
        <v>39.5</v>
      </c>
      <c r="E27" s="20" t="n">
        <v>5</v>
      </c>
      <c r="F27" s="3" t="str">
        <f aca="false">INDEX(2018_접점비교!$B$5:$B$38,MATCH(E27,2018_접점비교!$N$5:$N$38,0))</f>
        <v>판매원(점원) 추천</v>
      </c>
      <c r="G27" s="16" t="n">
        <f aca="false">INDEX(2018_접점비교!$D$5:$D$38,MATCH(E27,2018_접점비교!$N$5:$N$38,0))</f>
        <v>27.7</v>
      </c>
      <c r="I27" s="20" t="n">
        <v>5</v>
      </c>
      <c r="J27" s="3" t="str">
        <f aca="false">INDEX(2018_접점비교!$B$5:$B$38,MATCH(I27,2018_접점비교!$O$5:$O$38,0))</f>
        <v>샘플/구매 사은품</v>
      </c>
      <c r="K27" s="16" t="n">
        <f aca="false">INDEX(2018_접점비교!$E$5:$E$38,MATCH(I27,2018_접점비교!$O$5:$O$38,0))</f>
        <v>29.1</v>
      </c>
      <c r="M27" s="20" t="n">
        <v>5</v>
      </c>
      <c r="N27" s="3" t="str">
        <f aca="false">INDEX(2018_접점비교!$B$5:$B$38,MATCH(M27,2018_접점비교!$P$5:$P$38,0))</f>
        <v>드라마 등 TV프로그램 속 간접광고(PPL)</v>
      </c>
      <c r="O27" s="16" t="n">
        <f aca="false">INDEX(2018_접점비교!$F$5:$F$38,MATCH(M27,2018_접점비교!$P$5:$P$38,0))</f>
        <v>33.6666666666667</v>
      </c>
    </row>
    <row r="28" customFormat="false" ht="15" hidden="false" customHeight="false" outlineLevel="0" collapsed="false">
      <c r="A28" s="20" t="n">
        <v>6</v>
      </c>
      <c r="B28" s="3" t="str">
        <f aca="false">INDEX(2018_접점비교!$B$5:$B$38,MATCH(A28,2018_접점비교!$M$5:$M$38,0))</f>
        <v>매장 간판 및 외관 광고물</v>
      </c>
      <c r="C28" s="16" t="n">
        <f aca="false">INDEX(2018_접점비교!$C$5:$C$38,MATCH(A28,2018_접점비교!$M$5:$M$38,0))</f>
        <v>39.2</v>
      </c>
      <c r="E28" s="20" t="n">
        <v>6</v>
      </c>
      <c r="F28" s="3" t="str">
        <f aca="false">INDEX(2018_접점비교!$B$5:$B$38,MATCH(E28,2018_접점비교!$N$5:$N$38,0))</f>
        <v>샘플/구매 사은품</v>
      </c>
      <c r="G28" s="16" t="n">
        <f aca="false">INDEX(2018_접점비교!$D$5:$D$38,MATCH(E28,2018_접점비교!$N$5:$N$38,0))</f>
        <v>26.7</v>
      </c>
      <c r="I28" s="20" t="n">
        <v>6</v>
      </c>
      <c r="J28" s="3" t="str">
        <f aca="false">INDEX(2018_접점비교!$B$5:$B$38,MATCH(I28,2018_접점비교!$O$5:$O$38,0))</f>
        <v>쿠폰/프로모션 등 행사 및 이벤트</v>
      </c>
      <c r="K28" s="16" t="n">
        <f aca="false">INDEX(2018_접점비교!$E$5:$E$38,MATCH(I28,2018_접점비교!$O$5:$O$38,0))</f>
        <v>26.4</v>
      </c>
      <c r="M28" s="20" t="n">
        <v>6</v>
      </c>
      <c r="N28" s="3" t="str">
        <f aca="false">INDEX(2018_접점비교!$B$5:$B$38,MATCH(M28,2018_접점비교!$P$5:$P$38,0))</f>
        <v>제품 카달로그/전단지</v>
      </c>
      <c r="O28" s="16" t="n">
        <f aca="false">INDEX(2018_접점비교!$F$5:$F$38,MATCH(M28,2018_접점비교!$P$5:$P$38,0))</f>
        <v>27.8</v>
      </c>
    </row>
    <row r="29" customFormat="false" ht="15" hidden="false" customHeight="false" outlineLevel="0" collapsed="false">
      <c r="A29" s="20" t="n">
        <v>7</v>
      </c>
      <c r="B29" s="3" t="str">
        <f aca="false">INDEX(2018_접점비교!$B$5:$B$38,MATCH(A29,2018_접점비교!$M$5:$M$38,0))</f>
        <v>판매원(점원) 추천</v>
      </c>
      <c r="C29" s="16" t="n">
        <f aca="false">INDEX(2018_접점비교!$C$5:$C$38,MATCH(A29,2018_접점비교!$M$5:$M$38,0))</f>
        <v>37.5</v>
      </c>
      <c r="E29" s="20" t="n">
        <v>7</v>
      </c>
      <c r="F29" s="3" t="str">
        <f aca="false">INDEX(2018_접점비교!$B$5:$B$38,MATCH(E29,2018_접점비교!$N$5:$N$38,0))</f>
        <v>제품 카달로그/전단지</v>
      </c>
      <c r="G29" s="16" t="n">
        <f aca="false">INDEX(2018_접점비교!$D$5:$D$38,MATCH(E29,2018_접점비교!$N$5:$N$38,0))</f>
        <v>26.1</v>
      </c>
      <c r="I29" s="20" t="n">
        <v>7</v>
      </c>
      <c r="J29" s="3" t="str">
        <f aca="false">INDEX(2018_접점비교!$B$5:$B$38,MATCH(I29,2018_접점비교!$O$5:$O$38,0))</f>
        <v>SNS, 블로그 사용자 후기 및 전문가 리뷰</v>
      </c>
      <c r="K29" s="16" t="n">
        <f aca="false">INDEX(2018_접점비교!$E$5:$E$38,MATCH(I29,2018_접점비교!$O$5:$O$38,0))</f>
        <v>21</v>
      </c>
      <c r="M29" s="20" t="n">
        <v>7</v>
      </c>
      <c r="N29" s="3" t="str">
        <f aca="false">INDEX(2018_접점비교!$B$5:$B$38,MATCH(M29,2018_접점비교!$P$5:$P$38,0))</f>
        <v>샘플/구매 사은품</v>
      </c>
      <c r="O29" s="16" t="n">
        <f aca="false">INDEX(2018_접점비교!$F$5:$F$38,MATCH(M29,2018_접점비교!$P$5:$P$38,0))</f>
        <v>27.3</v>
      </c>
    </row>
    <row r="30" customFormat="false" ht="15" hidden="false" customHeight="false" outlineLevel="0" collapsed="false">
      <c r="A30" s="20" t="n">
        <v>8</v>
      </c>
      <c r="B30" s="3" t="str">
        <f aca="false">INDEX(2018_접점비교!$B$5:$B$38,MATCH(A30,2018_접점비교!$M$5:$M$38,0))</f>
        <v>제품 카달로그/전단지</v>
      </c>
      <c r="C30" s="16" t="n">
        <f aca="false">INDEX(2018_접점비교!$C$5:$C$38,MATCH(A30,2018_접점비교!$M$5:$M$38,0))</f>
        <v>37</v>
      </c>
      <c r="E30" s="20" t="n">
        <v>8</v>
      </c>
      <c r="F30" s="3" t="str">
        <f aca="false">INDEX(2018_접점비교!$B$5:$B$38,MATCH(E30,2018_접점비교!$N$5:$N$38,0))</f>
        <v>쿠폰/프로모션 등 행사 및 이벤트</v>
      </c>
      <c r="G30" s="16" t="n">
        <f aca="false">INDEX(2018_접점비교!$D$5:$D$38,MATCH(E30,2018_접점비교!$N$5:$N$38,0))</f>
        <v>26.1</v>
      </c>
      <c r="I30" s="20" t="n">
        <v>8</v>
      </c>
      <c r="J30" s="3" t="str">
        <f aca="false">INDEX(2018_접점비교!$B$5:$B$38,MATCH(I30,2018_접점비교!$O$5:$O$38,0))</f>
        <v>드라마 등 TV프로그램 속 간접광고(PPL)</v>
      </c>
      <c r="K30" s="16" t="n">
        <f aca="false">INDEX(2018_접점비교!$E$5:$E$38,MATCH(I30,2018_접점비교!$O$5:$O$38,0))</f>
        <v>20.5</v>
      </c>
      <c r="M30" s="20" t="n">
        <v>8</v>
      </c>
      <c r="N30" s="3" t="str">
        <f aca="false">INDEX(2018_접점비교!$B$5:$B$38,MATCH(M30,2018_접점비교!$P$5:$P$38,0))</f>
        <v>쿠폰/프로모션 등 행사 및 이벤트</v>
      </c>
      <c r="O30" s="16" t="n">
        <f aca="false">INDEX(2018_접점비교!$F$5:$F$38,MATCH(M30,2018_접점비교!$P$5:$P$38,0))</f>
        <v>26.0333333333333</v>
      </c>
    </row>
    <row r="31" customFormat="false" ht="15" hidden="false" customHeight="false" outlineLevel="0" collapsed="false">
      <c r="A31" s="20" t="n">
        <v>9</v>
      </c>
      <c r="B31" s="3" t="str">
        <f aca="false">INDEX(2018_접점비교!$B$5:$B$38,MATCH(A31,2018_접점비교!$M$5:$M$38,0))</f>
        <v>버스, 택시, 지하철 광고</v>
      </c>
      <c r="C31" s="16" t="n">
        <f aca="false">INDEX(2018_접점비교!$C$5:$C$38,MATCH(A31,2018_접점비교!$M$5:$M$38,0))</f>
        <v>36.5</v>
      </c>
      <c r="E31" s="20" t="n">
        <v>9</v>
      </c>
      <c r="F31" s="3" t="str">
        <f aca="false">INDEX(2018_접점비교!$B$5:$B$38,MATCH(E31,2018_접점비교!$N$5:$N$38,0))</f>
        <v>매장 내 광고(POP)</v>
      </c>
      <c r="G31" s="16" t="n">
        <f aca="false">INDEX(2018_접점비교!$D$5:$D$38,MATCH(E31,2018_접점비교!$N$5:$N$38,0))</f>
        <v>23.9</v>
      </c>
      <c r="I31" s="20" t="n">
        <v>9</v>
      </c>
      <c r="J31" s="3" t="str">
        <f aca="false">INDEX(2018_접점비교!$B$5:$B$38,MATCH(I31,2018_접점비교!$O$5:$O$38,0))</f>
        <v>제품 카달로그/전단지</v>
      </c>
      <c r="K31" s="16" t="n">
        <f aca="false">INDEX(2018_접점비교!$E$5:$E$38,MATCH(I31,2018_접점비교!$O$5:$O$38,0))</f>
        <v>20.3</v>
      </c>
      <c r="M31" s="20" t="n">
        <v>9</v>
      </c>
      <c r="N31" s="3" t="str">
        <f aca="false">INDEX(2018_접점비교!$B$5:$B$38,MATCH(M31,2018_접점비교!$P$5:$P$38,0))</f>
        <v>매장 내 광고(POP)</v>
      </c>
      <c r="O31" s="16" t="n">
        <f aca="false">INDEX(2018_접점비교!$F$5:$F$38,MATCH(M31,2018_접점비교!$P$5:$P$38,0))</f>
        <v>24.8333333333333</v>
      </c>
    </row>
    <row r="32" customFormat="false" ht="15" hidden="false" customHeight="false" outlineLevel="0" collapsed="false">
      <c r="A32" s="20" t="n">
        <v>10</v>
      </c>
      <c r="B32" s="3" t="str">
        <f aca="false">INDEX(2018_접점비교!$B$5:$B$38,MATCH(A32,2018_접점비교!$M$5:$M$38,0))</f>
        <v>매장 내 광고(POP)</v>
      </c>
      <c r="C32" s="16" t="n">
        <f aca="false">INDEX(2018_접점비교!$C$5:$C$38,MATCH(A32,2018_접점비교!$M$5:$M$38,0))</f>
        <v>35.9</v>
      </c>
      <c r="E32" s="20" t="n">
        <v>10</v>
      </c>
      <c r="F32" s="3" t="str">
        <f aca="false">INDEX(2018_접점비교!$B$5:$B$38,MATCH(E32,2018_접점비교!$N$5:$N$38,0))</f>
        <v>영화관, 스포츠 경기장, 공연장 등 광고</v>
      </c>
      <c r="G32" s="16" t="n">
        <f aca="false">INDEX(2018_접점비교!$D$5:$D$38,MATCH(E32,2018_접점비교!$N$5:$N$38,0))</f>
        <v>22.5</v>
      </c>
      <c r="I32" s="20" t="n">
        <v>10</v>
      </c>
      <c r="J32" s="3" t="str">
        <f aca="false">INDEX(2018_접점비교!$B$5:$B$38,MATCH(I32,2018_접점비교!$O$5:$O$38,0))</f>
        <v>가격비교사이트 및 제품 관련 전문사이트</v>
      </c>
      <c r="K32" s="16" t="n">
        <f aca="false">INDEX(2018_접점비교!$E$5:$E$38,MATCH(I32,2018_접점비교!$O$5:$O$38,0))</f>
        <v>19.3</v>
      </c>
      <c r="M32" s="20" t="n">
        <v>10</v>
      </c>
      <c r="N32" s="3" t="str">
        <f aca="false">INDEX(2018_접점비교!$B$5:$B$38,MATCH(M32,2018_접점비교!$P$5:$P$38,0))</f>
        <v>매장 간판 및 외관 광고물</v>
      </c>
      <c r="O32" s="16" t="n">
        <f aca="false">INDEX(2018_접점비교!$F$5:$F$38,MATCH(M32,2018_접점비교!$P$5:$P$38,0))</f>
        <v>23.8666666666667</v>
      </c>
    </row>
    <row r="36" customFormat="false" ht="19.4" hidden="false" customHeight="false" outlineLevel="0" collapsed="false">
      <c r="A36" s="21" t="s">
        <v>107</v>
      </c>
    </row>
    <row r="37" customFormat="false" ht="15" hidden="false" customHeight="true" outlineLevel="0" collapsed="false">
      <c r="A37" s="8" t="s">
        <v>99</v>
      </c>
      <c r="B37" s="8"/>
      <c r="C37" s="8"/>
      <c r="E37" s="9" t="s">
        <v>100</v>
      </c>
      <c r="F37" s="9"/>
      <c r="G37" s="9"/>
      <c r="I37" s="10" t="s">
        <v>101</v>
      </c>
      <c r="J37" s="10"/>
      <c r="K37" s="10"/>
      <c r="M37" s="22" t="s">
        <v>102</v>
      </c>
      <c r="N37" s="22"/>
      <c r="O37" s="22"/>
    </row>
    <row r="38" customFormat="false" ht="15" hidden="false" customHeight="false" outlineLevel="0" collapsed="false">
      <c r="A38" s="8" t="s">
        <v>103</v>
      </c>
      <c r="B38" s="8" t="s">
        <v>104</v>
      </c>
      <c r="C38" s="8" t="s">
        <v>105</v>
      </c>
      <c r="E38" s="9" t="s">
        <v>103</v>
      </c>
      <c r="F38" s="9" t="s">
        <v>104</v>
      </c>
      <c r="G38" s="9" t="s">
        <v>105</v>
      </c>
      <c r="I38" s="10" t="s">
        <v>103</v>
      </c>
      <c r="J38" s="10" t="s">
        <v>104</v>
      </c>
      <c r="K38" s="10" t="s">
        <v>105</v>
      </c>
      <c r="M38" s="23" t="s">
        <v>103</v>
      </c>
      <c r="N38" s="23" t="s">
        <v>104</v>
      </c>
      <c r="O38" s="23" t="s">
        <v>105</v>
      </c>
    </row>
    <row r="39" customFormat="false" ht="15" hidden="false" customHeight="false" outlineLevel="0" collapsed="false">
      <c r="A39" s="20" t="n">
        <v>1</v>
      </c>
      <c r="B39" s="3" t="str">
        <f aca="false">INDEX(2019_접점비교!$B$5:$B$38,MATCH(A39,2019_접점비교!$M$5:$M$38,0))</f>
        <v>TV 광고</v>
      </c>
      <c r="C39" s="16" t="n">
        <f aca="false">INDEX(2019_접점비교!$C$5:$C$38,MATCH(A39,2019_접점비교!$M$5:$M$38,0))</f>
        <v>82.3</v>
      </c>
      <c r="E39" s="20" t="n">
        <v>1</v>
      </c>
      <c r="F39" s="3" t="str">
        <f aca="false">INDEX(2019_접점비교!$B$5:$B$38,MATCH(E39,2019_접점비교!$N$5:$N$38,0))</f>
        <v>TV 광고</v>
      </c>
      <c r="G39" s="16" t="n">
        <f aca="false">INDEX(2019_접점비교!$D$5:$D$38,MATCH(E39,2019_접점비교!$N$5:$N$38,0))</f>
        <v>58.4</v>
      </c>
      <c r="I39" s="20" t="n">
        <v>1</v>
      </c>
      <c r="J39" s="3" t="str">
        <f aca="false">INDEX(2019_접점비교!$B$5:$B$38,MATCH(I39,2019_접점비교!$O$5:$O$38,0))</f>
        <v>주변사람(친구/가족/동료)의 추천</v>
      </c>
      <c r="K39" s="16" t="n">
        <f aca="false">INDEX(2019_접점비교!$E$5:$E$38,MATCH(I39,2019_접점비교!$O$5:$O$38,0))</f>
        <v>68.2</v>
      </c>
      <c r="M39" s="20" t="n">
        <v>1</v>
      </c>
      <c r="N39" s="3" t="str">
        <f aca="false">INDEX(2019_접점비교!$B$5:$B$38,MATCH(M39,2019_접점비교!$P$5:$P$38,0))</f>
        <v>TV 광고</v>
      </c>
      <c r="O39" s="16" t="n">
        <f aca="false">INDEX(2019_접점비교!$F$5:$F$38,MATCH(M39,2019_접점비교!$P$5:$P$38,0))</f>
        <v>62.6</v>
      </c>
    </row>
    <row r="40" customFormat="false" ht="15" hidden="false" customHeight="false" outlineLevel="0" collapsed="false">
      <c r="A40" s="20" t="n">
        <v>2</v>
      </c>
      <c r="B40" s="3" t="str">
        <f aca="false">INDEX(2019_접점비교!$B$5:$B$38,MATCH(A40,2019_접점비교!$M$5:$M$38,0))</f>
        <v>주변사람(친구/가족/동료)의 추천</v>
      </c>
      <c r="C40" s="16" t="n">
        <f aca="false">INDEX(2019_접점비교!$C$5:$C$38,MATCH(A40,2019_접점비교!$M$5:$M$38,0))</f>
        <v>58.5</v>
      </c>
      <c r="E40" s="20" t="n">
        <v>2</v>
      </c>
      <c r="F40" s="3" t="str">
        <f aca="false">INDEX(2019_접점비교!$B$5:$B$38,MATCH(E40,2019_접점비교!$N$5:$N$38,0))</f>
        <v>주변사람(친구/가족/동료)의 추천</v>
      </c>
      <c r="G40" s="16" t="n">
        <f aca="false">INDEX(2019_접점비교!$D$5:$D$38,MATCH(E40,2019_접점비교!$N$5:$N$38,0))</f>
        <v>49.7</v>
      </c>
      <c r="I40" s="20" t="n">
        <v>2</v>
      </c>
      <c r="J40" s="3" t="str">
        <f aca="false">INDEX(2019_접점비교!$B$5:$B$38,MATCH(I40,2019_접점비교!$O$5:$O$38,0))</f>
        <v>TV 광고</v>
      </c>
      <c r="K40" s="16" t="n">
        <f aca="false">INDEX(2019_접점비교!$E$5:$E$38,MATCH(I40,2019_접점비교!$O$5:$O$38,0))</f>
        <v>47.1</v>
      </c>
      <c r="M40" s="20" t="n">
        <v>2</v>
      </c>
      <c r="N40" s="3" t="str">
        <f aca="false">INDEX(2019_접점비교!$B$5:$B$38,MATCH(M40,2019_접점비교!$P$5:$P$38,0))</f>
        <v>주변사람(친구/가족/동료)의 추천</v>
      </c>
      <c r="O40" s="16" t="n">
        <f aca="false">INDEX(2019_접점비교!$F$5:$F$38,MATCH(M40,2019_접점비교!$P$5:$P$38,0))</f>
        <v>58.8</v>
      </c>
    </row>
    <row r="41" customFormat="false" ht="15" hidden="false" customHeight="false" outlineLevel="0" collapsed="false">
      <c r="A41" s="20" t="n">
        <v>3</v>
      </c>
      <c r="B41" s="3" t="str">
        <f aca="false">INDEX(2019_접점비교!$B$5:$B$38,MATCH(A41,2019_접점비교!$M$5:$M$38,0))</f>
        <v>매장 내 진열제품 및 제품정보</v>
      </c>
      <c r="C41" s="16" t="n">
        <f aca="false">INDEX(2019_접점비교!$C$5:$C$38,MATCH(A41,2019_접점비교!$M$5:$M$38,0))</f>
        <v>44.8</v>
      </c>
      <c r="E41" s="20" t="n">
        <v>3</v>
      </c>
      <c r="F41" s="3" t="str">
        <f aca="false">INDEX(2019_접점비교!$B$5:$B$38,MATCH(E41,2019_접점비교!$N$5:$N$38,0))</f>
        <v>매장 내 진열제품 및 제품정보</v>
      </c>
      <c r="G41" s="16" t="n">
        <f aca="false">INDEX(2019_접점비교!$D$5:$D$38,MATCH(E41,2019_접점비교!$N$5:$N$38,0))</f>
        <v>36.4</v>
      </c>
      <c r="I41" s="20" t="n">
        <v>3</v>
      </c>
      <c r="J41" s="3" t="str">
        <f aca="false">INDEX(2019_접점비교!$B$5:$B$38,MATCH(I41,2019_접점비교!$O$5:$O$38,0))</f>
        <v>판매원(점원) 추천</v>
      </c>
      <c r="K41" s="16" t="n">
        <f aca="false">INDEX(2019_접점비교!$E$5:$E$38,MATCH(I41,2019_접점비교!$O$5:$O$38,0))</f>
        <v>43.4</v>
      </c>
      <c r="M41" s="20" t="n">
        <v>3</v>
      </c>
      <c r="N41" s="3" t="str">
        <f aca="false">INDEX(2019_접점비교!$B$5:$B$38,MATCH(M41,2019_접점비교!$P$5:$P$38,0))</f>
        <v>판매원(점원) 추천</v>
      </c>
      <c r="O41" s="16" t="n">
        <f aca="false">INDEX(2019_접점비교!$F$5:$F$38,MATCH(M41,2019_접점비교!$P$5:$P$38,0))</f>
        <v>39.1333333333333</v>
      </c>
    </row>
    <row r="42" customFormat="false" ht="15" hidden="false" customHeight="false" outlineLevel="0" collapsed="false">
      <c r="A42" s="20" t="n">
        <v>4</v>
      </c>
      <c r="B42" s="3" t="str">
        <f aca="false">INDEX(2019_접점비교!$B$5:$B$38,MATCH(A42,2019_접점비교!$M$5:$M$38,0))</f>
        <v>건물 외벽/옥상, 역사 및 정류장 광고</v>
      </c>
      <c r="C42" s="16" t="n">
        <f aca="false">INDEX(2019_접점비교!$C$5:$C$38,MATCH(A42,2019_접점비교!$M$5:$M$38,0))</f>
        <v>44.6</v>
      </c>
      <c r="E42" s="20" t="n">
        <v>4</v>
      </c>
      <c r="F42" s="3" t="str">
        <f aca="false">INDEX(2019_접점비교!$B$5:$B$38,MATCH(E42,2019_접점비교!$N$5:$N$38,0))</f>
        <v>드라마 등 TV프로그램 속 간접광고(PPL)</v>
      </c>
      <c r="G42" s="16" t="n">
        <f aca="false">INDEX(2019_접점비교!$D$5:$D$38,MATCH(E42,2019_접점비교!$N$5:$N$38,0))</f>
        <v>34.8</v>
      </c>
      <c r="I42" s="20" t="n">
        <v>4</v>
      </c>
      <c r="J42" s="3" t="str">
        <f aca="false">INDEX(2019_접점비교!$B$5:$B$38,MATCH(I42,2019_접점비교!$O$5:$O$38,0))</f>
        <v>매장 내 진열제품 및 제품정보</v>
      </c>
      <c r="K42" s="16" t="n">
        <f aca="false">INDEX(2019_접점비교!$E$5:$E$38,MATCH(I42,2019_접점비교!$O$5:$O$38,0))</f>
        <v>34.2</v>
      </c>
      <c r="M42" s="20" t="n">
        <v>4</v>
      </c>
      <c r="N42" s="3" t="str">
        <f aca="false">INDEX(2019_접점비교!$B$5:$B$38,MATCH(M42,2019_접점비교!$P$5:$P$38,0))</f>
        <v>매장 내 진열제품 및 제품정보</v>
      </c>
      <c r="O42" s="16" t="n">
        <f aca="false">INDEX(2019_접점비교!$F$5:$F$38,MATCH(M42,2019_접점비교!$P$5:$P$38,0))</f>
        <v>38.4666666666667</v>
      </c>
    </row>
    <row r="43" customFormat="false" ht="15" hidden="false" customHeight="false" outlineLevel="0" collapsed="false">
      <c r="A43" s="20" t="n">
        <v>5</v>
      </c>
      <c r="B43" s="3" t="str">
        <f aca="false">INDEX(2019_접점비교!$B$5:$B$38,MATCH(A43,2019_접점비교!$M$5:$M$38,0))</f>
        <v>버스, 택시, 지하철 광고</v>
      </c>
      <c r="C43" s="16" t="n">
        <f aca="false">INDEX(2019_접점비교!$C$5:$C$38,MATCH(A43,2019_접점비교!$M$5:$M$38,0))</f>
        <v>43</v>
      </c>
      <c r="E43" s="20" t="n">
        <v>5</v>
      </c>
      <c r="F43" s="3" t="str">
        <f aca="false">INDEX(2019_접점비교!$B$5:$B$38,MATCH(E43,2019_접점비교!$N$5:$N$38,0))</f>
        <v>판매원(점원) 추천</v>
      </c>
      <c r="G43" s="16" t="n">
        <f aca="false">INDEX(2019_접점비교!$D$5:$D$38,MATCH(E43,2019_접점비교!$N$5:$N$38,0))</f>
        <v>31</v>
      </c>
      <c r="I43" s="20" t="n">
        <v>5</v>
      </c>
      <c r="J43" s="3" t="str">
        <f aca="false">INDEX(2019_접점비교!$B$5:$B$38,MATCH(I43,2019_접점비교!$O$5:$O$38,0))</f>
        <v>샘플/구매 사은품</v>
      </c>
      <c r="K43" s="16" t="n">
        <f aca="false">INDEX(2019_접점비교!$E$5:$E$38,MATCH(I43,2019_접점비교!$O$5:$O$38,0))</f>
        <v>31.3</v>
      </c>
      <c r="M43" s="20" t="n">
        <v>5</v>
      </c>
      <c r="N43" s="3" t="str">
        <f aca="false">INDEX(2019_접점비교!$B$5:$B$38,MATCH(M43,2019_접점비교!$P$5:$P$38,0))</f>
        <v>드라마 등 TV프로그램 속 간접광고(PPL)</v>
      </c>
      <c r="O43" s="16" t="n">
        <f aca="false">INDEX(2019_접점비교!$F$5:$F$38,MATCH(M43,2019_접점비교!$P$5:$P$38,0))</f>
        <v>31.4333333333333</v>
      </c>
    </row>
    <row r="44" customFormat="false" ht="15" hidden="false" customHeight="false" outlineLevel="0" collapsed="false">
      <c r="A44" s="20" t="n">
        <v>6</v>
      </c>
      <c r="B44" s="3" t="str">
        <f aca="false">INDEX(2019_접점비교!$B$5:$B$38,MATCH(A44,2019_접점비교!$M$5:$M$38,0))</f>
        <v>판매원(점원) 추천</v>
      </c>
      <c r="C44" s="16" t="n">
        <f aca="false">INDEX(2019_접점비교!$C$5:$C$38,MATCH(A44,2019_접점비교!$M$5:$M$38,0))</f>
        <v>43</v>
      </c>
      <c r="E44" s="20" t="n">
        <v>6</v>
      </c>
      <c r="F44" s="3" t="str">
        <f aca="false">INDEX(2019_접점비교!$B$5:$B$38,MATCH(E44,2019_접점비교!$N$5:$N$38,0))</f>
        <v>샘플/구매 사은품</v>
      </c>
      <c r="G44" s="16" t="n">
        <f aca="false">INDEX(2019_접점비교!$D$5:$D$38,MATCH(E44,2019_접점비교!$N$5:$N$38,0))</f>
        <v>29.6</v>
      </c>
      <c r="I44" s="20" t="n">
        <v>6</v>
      </c>
      <c r="J44" s="3" t="str">
        <f aca="false">INDEX(2019_접점비교!$B$5:$B$38,MATCH(I44,2019_접점비교!$O$5:$O$38,0))</f>
        <v>쿠폰/프로모션 등 행사 및 이벤트</v>
      </c>
      <c r="K44" s="16" t="n">
        <f aca="false">INDEX(2019_접점비교!$E$5:$E$38,MATCH(I44,2019_접점비교!$O$5:$O$38,0))</f>
        <v>31.2</v>
      </c>
      <c r="M44" s="20" t="n">
        <v>6</v>
      </c>
      <c r="N44" s="3" t="str">
        <f aca="false">INDEX(2019_접점비교!$B$5:$B$38,MATCH(M44,2019_접점비교!$P$5:$P$38,0))</f>
        <v>샘플/구매 사은품</v>
      </c>
      <c r="O44" s="16" t="n">
        <f aca="false">INDEX(2019_접점비교!$F$5:$F$38,MATCH(M44,2019_접점비교!$P$5:$P$38,0))</f>
        <v>30.9333333333333</v>
      </c>
    </row>
    <row r="45" customFormat="false" ht="15" hidden="false" customHeight="false" outlineLevel="0" collapsed="false">
      <c r="A45" s="20" t="n">
        <v>7</v>
      </c>
      <c r="B45" s="3" t="str">
        <f aca="false">INDEX(2019_접점비교!$B$5:$B$38,MATCH(A45,2019_접점비교!$M$5:$M$38,0))</f>
        <v>드라마 등 TV프로그램 속 간접광고(PPL)</v>
      </c>
      <c r="C45" s="16" t="n">
        <f aca="false">INDEX(2019_접점비교!$C$5:$C$38,MATCH(A45,2019_접점비교!$M$5:$M$38,0))</f>
        <v>42.4</v>
      </c>
      <c r="E45" s="20" t="n">
        <v>7</v>
      </c>
      <c r="F45" s="3" t="str">
        <f aca="false">INDEX(2019_접점비교!$B$5:$B$38,MATCH(E45,2019_접점비교!$N$5:$N$38,0))</f>
        <v>쿠폰/프로모션 등 행사 및 이벤트</v>
      </c>
      <c r="G45" s="16" t="n">
        <f aca="false">INDEX(2019_접점비교!$D$5:$D$38,MATCH(E45,2019_접점비교!$N$5:$N$38,0))</f>
        <v>28.3</v>
      </c>
      <c r="I45" s="20" t="n">
        <v>7</v>
      </c>
      <c r="J45" s="3" t="str">
        <f aca="false">INDEX(2019_접점비교!$B$5:$B$38,MATCH(I45,2019_접점비교!$O$5:$O$38,0))</f>
        <v>SNS, 블로그 사용자 후기 및 전문가 리뷰</v>
      </c>
      <c r="K45" s="16" t="n">
        <f aca="false">INDEX(2019_접점비교!$E$5:$E$38,MATCH(I45,2019_접점비교!$O$5:$O$38,0))</f>
        <v>24.6</v>
      </c>
      <c r="M45" s="20" t="n">
        <v>7</v>
      </c>
      <c r="N45" s="3" t="str">
        <f aca="false">INDEX(2019_접점비교!$B$5:$B$38,MATCH(M45,2019_접점비교!$P$5:$P$38,0))</f>
        <v>쿠폰/프로모션 등 행사 및 이벤트</v>
      </c>
      <c r="O45" s="16" t="n">
        <f aca="false">INDEX(2019_접점비교!$F$5:$F$38,MATCH(M45,2019_접점비교!$P$5:$P$38,0))</f>
        <v>29.8</v>
      </c>
    </row>
    <row r="46" customFormat="false" ht="15" hidden="false" customHeight="false" outlineLevel="0" collapsed="false">
      <c r="A46" s="20" t="n">
        <v>8</v>
      </c>
      <c r="B46" s="3" t="str">
        <f aca="false">INDEX(2019_접점비교!$B$5:$B$38,MATCH(A46,2019_접점비교!$M$5:$M$38,0))</f>
        <v>제품 카달로그/전단지</v>
      </c>
      <c r="C46" s="16" t="n">
        <f aca="false">INDEX(2019_접점비교!$C$5:$C$38,MATCH(A46,2019_접점비교!$M$5:$M$38,0))</f>
        <v>41.5</v>
      </c>
      <c r="E46" s="20" t="n">
        <v>8</v>
      </c>
      <c r="F46" s="3" t="str">
        <f aca="false">INDEX(2019_접점비교!$B$5:$B$38,MATCH(E46,2019_접점비교!$N$5:$N$38,0))</f>
        <v>제품 카달로그/전단지</v>
      </c>
      <c r="G46" s="16" t="n">
        <f aca="false">INDEX(2019_접점비교!$D$5:$D$38,MATCH(E46,2019_접점비교!$N$5:$N$38,0))</f>
        <v>26.7</v>
      </c>
      <c r="I46" s="20" t="n">
        <v>8</v>
      </c>
      <c r="J46" s="3" t="str">
        <f aca="false">INDEX(2019_접점비교!$B$5:$B$38,MATCH(I46,2019_접점비교!$O$5:$O$38,0))</f>
        <v>가격비교사이트 및 제품 관련 전문사이트</v>
      </c>
      <c r="K46" s="16" t="n">
        <f aca="false">INDEX(2019_접점비교!$E$5:$E$38,MATCH(I46,2019_접점비교!$O$5:$O$38,0))</f>
        <v>20.2</v>
      </c>
      <c r="M46" s="20" t="n">
        <v>8</v>
      </c>
      <c r="N46" s="3" t="str">
        <f aca="false">INDEX(2019_접점비교!$B$5:$B$38,MATCH(M46,2019_접점비교!$P$5:$P$38,0))</f>
        <v>제품 카달로그/전단지</v>
      </c>
      <c r="O46" s="16" t="n">
        <f aca="false">INDEX(2019_접점비교!$F$5:$F$38,MATCH(M46,2019_접점비교!$P$5:$P$38,0))</f>
        <v>29.2666666666667</v>
      </c>
    </row>
    <row r="47" customFormat="false" ht="15" hidden="false" customHeight="false" outlineLevel="0" collapsed="false">
      <c r="A47" s="20" t="n">
        <v>9</v>
      </c>
      <c r="B47" s="3" t="str">
        <f aca="false">INDEX(2019_접점비교!$B$5:$B$38,MATCH(A47,2019_접점비교!$M$5:$M$38,0))</f>
        <v>매장 간판 및 외관 광고물</v>
      </c>
      <c r="C47" s="16" t="n">
        <f aca="false">INDEX(2019_접점비교!$C$5:$C$38,MATCH(A47,2019_접점비교!$M$5:$M$38,0))</f>
        <v>40</v>
      </c>
      <c r="E47" s="20" t="n">
        <v>9</v>
      </c>
      <c r="F47" s="3" t="str">
        <f aca="false">INDEX(2019_접점비교!$B$5:$B$38,MATCH(E47,2019_접점비교!$N$5:$N$38,0))</f>
        <v>SNS, 블로그 사용자 후기 및 전문가 리뷰</v>
      </c>
      <c r="G47" s="16" t="n">
        <f aca="false">INDEX(2019_접점비교!$D$5:$D$38,MATCH(E47,2019_접점비교!$N$5:$N$38,0))</f>
        <v>24.5</v>
      </c>
      <c r="I47" s="20" t="n">
        <v>9</v>
      </c>
      <c r="J47" s="3" t="str">
        <f aca="false">INDEX(2019_접점비교!$B$5:$B$38,MATCH(I47,2019_접점비교!$O$5:$O$38,0))</f>
        <v>제품 카달로그/전단지</v>
      </c>
      <c r="K47" s="16" t="n">
        <f aca="false">INDEX(2019_접점비교!$E$5:$E$38,MATCH(I47,2019_접점비교!$O$5:$O$38,0))</f>
        <v>19.6</v>
      </c>
      <c r="M47" s="20" t="n">
        <v>9</v>
      </c>
      <c r="N47" s="3" t="str">
        <f aca="false">INDEX(2019_접점비교!$B$5:$B$38,MATCH(M47,2019_접점비교!$P$5:$P$38,0))</f>
        <v>SNS, 블로그 사용자 후기 및 전문가 리뷰</v>
      </c>
      <c r="O47" s="16" t="n">
        <f aca="false">INDEX(2019_접점비교!$F$5:$F$38,MATCH(M47,2019_접점비교!$P$5:$P$38,0))</f>
        <v>25.9</v>
      </c>
    </row>
    <row r="48" customFormat="false" ht="15" hidden="false" customHeight="false" outlineLevel="0" collapsed="false">
      <c r="A48" s="20" t="n">
        <v>10</v>
      </c>
      <c r="B48" s="3" t="str">
        <f aca="false">INDEX(2019_접점비교!$B$5:$B$38,MATCH(A48,2019_접점비교!$M$5:$M$38,0))</f>
        <v>매장 내 광고(POP)</v>
      </c>
      <c r="C48" s="16" t="n">
        <f aca="false">INDEX(2019_접점비교!$C$5:$C$38,MATCH(A48,2019_접점비교!$M$5:$M$38,0))</f>
        <v>36.5</v>
      </c>
      <c r="E48" s="20" t="n">
        <v>10</v>
      </c>
      <c r="F48" s="3" t="str">
        <f aca="false">INDEX(2019_접점비교!$B$5:$B$38,MATCH(E48,2019_접점비교!$N$5:$N$38,0))</f>
        <v>매장 내 광고(POP)</v>
      </c>
      <c r="G48" s="16" t="n">
        <f aca="false">INDEX(2019_접점비교!$D$5:$D$38,MATCH(E48,2019_접점비교!$N$5:$N$38,0))</f>
        <v>23.4</v>
      </c>
      <c r="I48" s="20" t="n">
        <v>10</v>
      </c>
      <c r="J48" s="3" t="str">
        <f aca="false">INDEX(2019_접점비교!$B$5:$B$38,MATCH(I48,2019_접점비교!$O$5:$O$38,0))</f>
        <v>포털 카페 및 커뮤니티(네이버, 다음 등)</v>
      </c>
      <c r="K48" s="16" t="n">
        <f aca="false">INDEX(2019_접점비교!$E$5:$E$38,MATCH(I48,2019_접점비교!$O$5:$O$38,0))</f>
        <v>17.9</v>
      </c>
      <c r="M48" s="20" t="n">
        <v>10</v>
      </c>
      <c r="N48" s="3" t="str">
        <f aca="false">INDEX(2019_접점비교!$B$5:$B$38,MATCH(M48,2019_접점비교!$P$5:$P$38,0))</f>
        <v>매장 내 광고(POP)</v>
      </c>
      <c r="O48" s="16" t="n">
        <f aca="false">INDEX(2019_접점비교!$F$5:$F$38,MATCH(M48,2019_접점비교!$P$5:$P$38,0))</f>
        <v>24.0333333333333</v>
      </c>
    </row>
  </sheetData>
  <mergeCells count="12">
    <mergeCell ref="A5:C5"/>
    <mergeCell ref="E5:G5"/>
    <mergeCell ref="I5:K5"/>
    <mergeCell ref="M5:O5"/>
    <mergeCell ref="A21:C21"/>
    <mergeCell ref="E21:G21"/>
    <mergeCell ref="I21:K21"/>
    <mergeCell ref="M21:O21"/>
    <mergeCell ref="A37:C37"/>
    <mergeCell ref="E37:G37"/>
    <mergeCell ref="I37:K37"/>
    <mergeCell ref="M37:O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8" min="3" style="0" width="10"/>
  </cols>
  <sheetData>
    <row r="1" customFormat="false" ht="21.6" hidden="false" customHeight="false" outlineLevel="0" collapsed="false">
      <c r="A1" s="1" t="s">
        <v>108</v>
      </c>
    </row>
    <row r="2" customFormat="false" ht="15" hidden="false" customHeight="false" outlineLevel="0" collapsed="false">
      <c r="A2" s="6" t="s">
        <v>109</v>
      </c>
    </row>
    <row r="4" customFormat="false" ht="30" hidden="false" customHeight="true" outlineLevel="0" collapsed="false">
      <c r="A4" s="7" t="s">
        <v>27</v>
      </c>
      <c r="B4" s="7" t="s">
        <v>28</v>
      </c>
      <c r="C4" s="7" t="s">
        <v>85</v>
      </c>
      <c r="D4" s="7"/>
      <c r="E4" s="7"/>
      <c r="F4" s="7" t="s">
        <v>86</v>
      </c>
      <c r="G4" s="7"/>
      <c r="H4" s="7"/>
      <c r="I4" s="7" t="s">
        <v>87</v>
      </c>
      <c r="J4" s="7"/>
      <c r="K4" s="7"/>
      <c r="L4" s="7" t="s">
        <v>110</v>
      </c>
      <c r="M4" s="7" t="s">
        <v>111</v>
      </c>
      <c r="N4" s="7" t="s">
        <v>112</v>
      </c>
      <c r="O4" s="7" t="s">
        <v>113</v>
      </c>
      <c r="P4" s="18" t="s">
        <v>114</v>
      </c>
      <c r="Q4" s="7" t="s">
        <v>115</v>
      </c>
      <c r="R4" s="7" t="s">
        <v>116</v>
      </c>
    </row>
    <row r="5" customFormat="false" ht="18" hidden="false" customHeight="true" outlineLevel="0" collapsed="false">
      <c r="A5" s="7"/>
      <c r="B5" s="7"/>
      <c r="C5" s="18" t="s">
        <v>32</v>
      </c>
      <c r="D5" s="18" t="s">
        <v>33</v>
      </c>
      <c r="E5" s="18" t="s">
        <v>34</v>
      </c>
      <c r="F5" s="18" t="s">
        <v>32</v>
      </c>
      <c r="G5" s="18" t="s">
        <v>33</v>
      </c>
      <c r="H5" s="18" t="s">
        <v>34</v>
      </c>
      <c r="I5" s="18" t="s">
        <v>32</v>
      </c>
      <c r="J5" s="18" t="s">
        <v>33</v>
      </c>
      <c r="K5" s="18" t="s">
        <v>34</v>
      </c>
      <c r="L5" s="7"/>
      <c r="M5" s="7"/>
      <c r="N5" s="7"/>
      <c r="O5" s="7"/>
      <c r="P5" s="7"/>
      <c r="Q5" s="7"/>
      <c r="R5" s="7"/>
    </row>
    <row r="6" customFormat="false" ht="15" hidden="false" customHeight="false" outlineLevel="0" collapsed="false">
      <c r="A6" s="3" t="str">
        <f aca="false">통합데이터!A7</f>
        <v>TV·라디오</v>
      </c>
      <c r="B6" s="3" t="str">
        <f aca="false">통합데이터!B7</f>
        <v>TV 광고</v>
      </c>
      <c r="C6" s="20" t="n">
        <f aca="false">2017_접점비교!I5</f>
        <v>1</v>
      </c>
      <c r="D6" s="20" t="n">
        <f aca="false">2018_접점비교!I5</f>
        <v>1</v>
      </c>
      <c r="E6" s="20" t="n">
        <f aca="false">2019_접점비교!I5</f>
        <v>1</v>
      </c>
      <c r="F6" s="20" t="n">
        <f aca="false">2017_접점비교!J5</f>
        <v>1</v>
      </c>
      <c r="G6" s="20" t="n">
        <f aca="false">2018_접점비교!J5</f>
        <v>1</v>
      </c>
      <c r="H6" s="20" t="n">
        <f aca="false">2019_접점비교!J5</f>
        <v>1</v>
      </c>
      <c r="I6" s="20" t="n">
        <f aca="false">2017_접점비교!K5</f>
        <v>2</v>
      </c>
      <c r="J6" s="20" t="n">
        <f aca="false">2018_접점비교!K5</f>
        <v>2</v>
      </c>
      <c r="K6" s="20" t="n">
        <f aca="false">2019_접점비교!K5</f>
        <v>2</v>
      </c>
      <c r="L6" s="20" t="n">
        <f aca="false">IF(COUNT(I6:K6)&lt;2,"",MAX(I6:K6)-MIN(I6:K6))</f>
        <v>0</v>
      </c>
      <c r="M6" s="20" t="n">
        <f aca="false">COUNT(통합데이터!I7:K7)</f>
        <v>3</v>
      </c>
      <c r="N6" s="16" t="n">
        <f aca="false">IFERROR(AVERAGE(통합데이터!I7:K7),"")</f>
        <v>47.3666666666667</v>
      </c>
      <c r="O6" s="16" t="n">
        <f aca="false">IF(COUNT(통합데이터!J7:K7)=2,AVERAGE(통합데이터!J7:K7),"")</f>
        <v>45.25</v>
      </c>
      <c r="P6" s="20" t="n">
        <f aca="false">IF(O6="","",RANK(O6,$O$6:$O$39))</f>
        <v>2</v>
      </c>
      <c r="Q6" s="20" t="n">
        <f aca="false">IF(N6="","",RANK(N6,$N$6:$N$39)+COUNTIF($N$5:N5,N6))</f>
        <v>2</v>
      </c>
      <c r="R6" s="20" t="n">
        <f aca="false">IF(O6="","",RANK(O6,$O$6:$O$39)+COUNTIF($O$5:O5,O6))</f>
        <v>2</v>
      </c>
    </row>
    <row r="7" customFormat="false" ht="15" hidden="false" customHeight="false" outlineLevel="0" collapsed="false">
      <c r="A7" s="3" t="str">
        <f aca="false">통합데이터!A8</f>
        <v>TV·라디오</v>
      </c>
      <c r="B7" s="3" t="str">
        <f aca="false">통합데이터!B8</f>
        <v>드라마 등 TV프로그램 속 간접광고(PPL)</v>
      </c>
      <c r="C7" s="20" t="str">
        <f aca="false">2017_접점비교!I6</f>
        <v/>
      </c>
      <c r="D7" s="20" t="n">
        <f aca="false">2018_접점비교!I6</f>
        <v>3</v>
      </c>
      <c r="E7" s="20" t="n">
        <f aca="false">2019_접점비교!I6</f>
        <v>7</v>
      </c>
      <c r="F7" s="20" t="n">
        <f aca="false">2017_접점비교!J6</f>
        <v>4</v>
      </c>
      <c r="G7" s="20" t="n">
        <f aca="false">2018_접점비교!J6</f>
        <v>3</v>
      </c>
      <c r="H7" s="20" t="n">
        <f aca="false">2019_접점비교!J6</f>
        <v>4</v>
      </c>
      <c r="I7" s="20" t="n">
        <f aca="false">2017_접점비교!K6</f>
        <v>9</v>
      </c>
      <c r="J7" s="20" t="n">
        <f aca="false">2018_접점비교!K6</f>
        <v>8</v>
      </c>
      <c r="K7" s="20" t="n">
        <f aca="false">2019_접점비교!K6</f>
        <v>11</v>
      </c>
      <c r="L7" s="20" t="n">
        <f aca="false">IF(COUNT(I7:K7)&lt;2,"",MAX(I7:K7)-MIN(I7:K7))</f>
        <v>3</v>
      </c>
      <c r="M7" s="20" t="n">
        <f aca="false">COUNT(통합데이터!I8:K8)</f>
        <v>3</v>
      </c>
      <c r="N7" s="16" t="n">
        <f aca="false">IFERROR(AVERAGE(통합데이터!I8:K8),"")</f>
        <v>19.4333333333333</v>
      </c>
      <c r="O7" s="16" t="n">
        <f aca="false">IF(COUNT(통합데이터!J8:K8)=2,AVERAGE(통합데이터!J8:K8),"")</f>
        <v>18.8</v>
      </c>
      <c r="P7" s="20" t="n">
        <f aca="false">IF(O7="","",RANK(O7,$O$6:$O$39))</f>
        <v>10</v>
      </c>
      <c r="Q7" s="20" t="n">
        <f aca="false">IF(N7="","",RANK(N7,$N$6:$N$39)+COUNTIF($N$5:N6,N7))</f>
        <v>10</v>
      </c>
      <c r="R7" s="20" t="n">
        <f aca="false">IF(O7="","",RANK(O7,$O$6:$O$39)+COUNTIF($O$5:O6,O7))</f>
        <v>10</v>
      </c>
    </row>
    <row r="8" customFormat="false" ht="15" hidden="false" customHeight="false" outlineLevel="0" collapsed="false">
      <c r="A8" s="3" t="str">
        <f aca="false">통합데이터!A9</f>
        <v>TV·라디오</v>
      </c>
      <c r="B8" s="3" t="str">
        <f aca="false">통합데이터!B9</f>
        <v>라디오 광고</v>
      </c>
      <c r="C8" s="20" t="n">
        <f aca="false">2017_접점비교!I7</f>
        <v>10</v>
      </c>
      <c r="D8" s="20" t="n">
        <f aca="false">2018_접점비교!I7</f>
        <v>18</v>
      </c>
      <c r="E8" s="20" t="n">
        <f aca="false">2019_접점비교!I7</f>
        <v>18</v>
      </c>
      <c r="F8" s="20" t="n">
        <f aca="false">2017_접점비교!J7</f>
        <v>34</v>
      </c>
      <c r="G8" s="20" t="n">
        <f aca="false">2018_접점비교!J7</f>
        <v>25</v>
      </c>
      <c r="H8" s="20" t="n">
        <f aca="false">2019_접점비교!J7</f>
        <v>24</v>
      </c>
      <c r="I8" s="20" t="n">
        <f aca="false">2017_접점비교!K7</f>
        <v>34</v>
      </c>
      <c r="J8" s="20" t="n">
        <f aca="false">2018_접점비교!K7</f>
        <v>21</v>
      </c>
      <c r="K8" s="20" t="n">
        <f aca="false">2019_접점비교!K7</f>
        <v>22</v>
      </c>
      <c r="L8" s="20" t="n">
        <f aca="false">IF(COUNT(I8:K8)&lt;2,"",MAX(I8:K8)-MIN(I8:K8))</f>
        <v>13</v>
      </c>
      <c r="M8" s="20" t="n">
        <f aca="false">COUNT(통합데이터!I9:K9)</f>
        <v>3</v>
      </c>
      <c r="N8" s="16" t="n">
        <f aca="false">IFERROR(AVERAGE(통합데이터!I9:K9),"")</f>
        <v>5.73333333333333</v>
      </c>
      <c r="O8" s="16" t="n">
        <f aca="false">IF(COUNT(통합데이터!J9:K9)=2,AVERAGE(통합데이터!J9:K9),"")</f>
        <v>6.15</v>
      </c>
      <c r="P8" s="20" t="n">
        <f aca="false">IF(O8="","",RANK(O8,$O$6:$O$39))</f>
        <v>22</v>
      </c>
      <c r="Q8" s="20" t="n">
        <f aca="false">IF(N8="","",RANK(N8,$N$6:$N$39)+COUNTIF($N$5:N7,N8))</f>
        <v>27</v>
      </c>
      <c r="R8" s="20" t="n">
        <f aca="false">IF(O8="","",RANK(O8,$O$6:$O$39)+COUNTIF($O$5:O7,O8))</f>
        <v>22</v>
      </c>
    </row>
    <row r="9" customFormat="false" ht="15" hidden="false" customHeight="false" outlineLevel="0" collapsed="false">
      <c r="A9" s="3" t="str">
        <f aca="false">통합데이터!A10</f>
        <v>인쇄·DM</v>
      </c>
      <c r="B9" s="3" t="str">
        <f aca="false">통합데이터!B10</f>
        <v>신문 광고</v>
      </c>
      <c r="C9" s="20" t="n">
        <f aca="false">2017_접점비교!I8</f>
        <v>27</v>
      </c>
      <c r="D9" s="20" t="n">
        <f aca="false">2018_접점비교!I8</f>
        <v>22</v>
      </c>
      <c r="E9" s="20" t="n">
        <f aca="false">2019_접점비교!I8</f>
        <v>25</v>
      </c>
      <c r="F9" s="20" t="n">
        <f aca="false">2017_접점비교!J8</f>
        <v>28</v>
      </c>
      <c r="G9" s="20" t="n">
        <f aca="false">2018_접점비교!J8</f>
        <v>30</v>
      </c>
      <c r="H9" s="20" t="n">
        <f aca="false">2019_접점비교!J8</f>
        <v>30</v>
      </c>
      <c r="I9" s="20" t="n">
        <f aca="false">2017_접점비교!K8</f>
        <v>27</v>
      </c>
      <c r="J9" s="20" t="n">
        <f aca="false">2018_접점비교!K8</f>
        <v>28</v>
      </c>
      <c r="K9" s="20" t="n">
        <f aca="false">2019_접점비교!K8</f>
        <v>27</v>
      </c>
      <c r="L9" s="20" t="n">
        <f aca="false">IF(COUNT(I9:K9)&lt;2,"",MAX(I9:K9)-MIN(I9:K9))</f>
        <v>1</v>
      </c>
      <c r="M9" s="20" t="n">
        <f aca="false">COUNT(통합데이터!I10:K10)</f>
        <v>3</v>
      </c>
      <c r="N9" s="16" t="n">
        <f aca="false">IFERROR(AVERAGE(통합데이터!I10:K10),"")</f>
        <v>5.23333333333333</v>
      </c>
      <c r="O9" s="16" t="n">
        <f aca="false">IF(COUNT(통합데이터!J10:K10)=2,AVERAGE(통합데이터!J10:K10),"")</f>
        <v>4.35</v>
      </c>
      <c r="P9" s="20" t="n">
        <f aca="false">IF(O9="","",RANK(O9,$O$6:$O$39))</f>
        <v>28</v>
      </c>
      <c r="Q9" s="20" t="n">
        <f aca="false">IF(N9="","",RANK(N9,$N$6:$N$39)+COUNTIF($N$5:N8,N9))</f>
        <v>28</v>
      </c>
      <c r="R9" s="20" t="n">
        <f aca="false">IF(O9="","",RANK(O9,$O$6:$O$39)+COUNTIF($O$5:O8,O9))</f>
        <v>28</v>
      </c>
    </row>
    <row r="10" customFormat="false" ht="15" hidden="false" customHeight="false" outlineLevel="0" collapsed="false">
      <c r="A10" s="3" t="str">
        <f aca="false">통합데이터!A11</f>
        <v>인쇄·DM</v>
      </c>
      <c r="B10" s="3" t="str">
        <f aca="false">통합데이터!B11</f>
        <v>신문 기사</v>
      </c>
      <c r="C10" s="20" t="n">
        <f aca="false">2017_접점비교!I9</f>
        <v>24</v>
      </c>
      <c r="D10" s="20" t="n">
        <f aca="false">2018_접점비교!I9</f>
        <v>28</v>
      </c>
      <c r="E10" s="20" t="n">
        <f aca="false">2019_접점비교!I9</f>
        <v>28</v>
      </c>
      <c r="F10" s="20" t="n">
        <f aca="false">2017_접점비교!J9</f>
        <v>32</v>
      </c>
      <c r="G10" s="20" t="n">
        <f aca="false">2018_접점비교!J9</f>
        <v>33</v>
      </c>
      <c r="H10" s="20" t="n">
        <f aca="false">2019_접점비교!J9</f>
        <v>32</v>
      </c>
      <c r="I10" s="20" t="n">
        <f aca="false">2017_접점비교!K9</f>
        <v>25</v>
      </c>
      <c r="J10" s="20" t="n">
        <f aca="false">2018_접점비교!K9</f>
        <v>24</v>
      </c>
      <c r="K10" s="20" t="n">
        <f aca="false">2019_접점비교!K9</f>
        <v>26</v>
      </c>
      <c r="L10" s="20" t="n">
        <f aca="false">IF(COUNT(I10:K10)&lt;2,"",MAX(I10:K10)-MIN(I10:K10))</f>
        <v>2</v>
      </c>
      <c r="M10" s="20" t="n">
        <f aca="false">COUNT(통합데이터!I11:K11)</f>
        <v>3</v>
      </c>
      <c r="N10" s="16" t="n">
        <f aca="false">IFERROR(AVERAGE(통합데이터!I11:K11),"")</f>
        <v>5.93333333333333</v>
      </c>
      <c r="O10" s="16" t="n">
        <f aca="false">IF(COUNT(통합데이터!J11:K11)=2,AVERAGE(통합데이터!J11:K11),"")</f>
        <v>5.05</v>
      </c>
      <c r="P10" s="20" t="n">
        <f aca="false">IF(O10="","",RANK(O10,$O$6:$O$39))</f>
        <v>25</v>
      </c>
      <c r="Q10" s="20" t="n">
        <f aca="false">IF(N10="","",RANK(N10,$N$6:$N$39)+COUNTIF($N$5:N9,N10))</f>
        <v>25</v>
      </c>
      <c r="R10" s="20" t="n">
        <f aca="false">IF(O10="","",RANK(O10,$O$6:$O$39)+COUNTIF($O$5:O9,O10))</f>
        <v>25</v>
      </c>
    </row>
    <row r="11" customFormat="false" ht="15" hidden="false" customHeight="false" outlineLevel="0" collapsed="false">
      <c r="A11" s="3" t="str">
        <f aca="false">통합데이터!A12</f>
        <v>인쇄·DM</v>
      </c>
      <c r="B11" s="3" t="str">
        <f aca="false">통합데이터!B12</f>
        <v>잡지 광고</v>
      </c>
      <c r="C11" s="20" t="n">
        <f aca="false">2017_접점비교!I10</f>
        <v>26</v>
      </c>
      <c r="D11" s="20" t="n">
        <f aca="false">2018_접점비교!I10</f>
        <v>26</v>
      </c>
      <c r="E11" s="20" t="n">
        <f aca="false">2019_접점비교!I10</f>
        <v>26</v>
      </c>
      <c r="F11" s="20" t="n">
        <f aca="false">2017_접점비교!J10</f>
        <v>18</v>
      </c>
      <c r="G11" s="20" t="n">
        <f aca="false">2018_접점비교!J10</f>
        <v>19</v>
      </c>
      <c r="H11" s="20" t="n">
        <f aca="false">2019_접점비교!J10</f>
        <v>19</v>
      </c>
      <c r="I11" s="20" t="n">
        <f aca="false">2017_접점비교!K10</f>
        <v>25</v>
      </c>
      <c r="J11" s="20" t="n">
        <f aca="false">2018_접점비교!K10</f>
        <v>27</v>
      </c>
      <c r="K11" s="20" t="n">
        <f aca="false">2019_접점비교!K10</f>
        <v>24</v>
      </c>
      <c r="L11" s="20" t="n">
        <f aca="false">IF(COUNT(I11:K11)&lt;2,"",MAX(I11:K11)-MIN(I11:K11))</f>
        <v>3</v>
      </c>
      <c r="M11" s="20" t="n">
        <f aca="false">COUNT(통합데이터!I12:K12)</f>
        <v>3</v>
      </c>
      <c r="N11" s="16" t="n">
        <f aca="false">IFERROR(AVERAGE(통합데이터!I12:K12),"")</f>
        <v>5.83333333333333</v>
      </c>
      <c r="O11" s="16" t="n">
        <f aca="false">IF(COUNT(통합데이터!J12:K12)=2,AVERAGE(통합데이터!J12:K12),"")</f>
        <v>4.9</v>
      </c>
      <c r="P11" s="20" t="n">
        <f aca="false">IF(O11="","",RANK(O11,$O$6:$O$39))</f>
        <v>27</v>
      </c>
      <c r="Q11" s="20" t="n">
        <f aca="false">IF(N11="","",RANK(N11,$N$6:$N$39)+COUNTIF($N$5:N10,N11))</f>
        <v>26</v>
      </c>
      <c r="R11" s="20" t="n">
        <f aca="false">IF(O11="","",RANK(O11,$O$6:$O$39)+COUNTIF($O$5:O10,O11))</f>
        <v>27</v>
      </c>
    </row>
    <row r="12" customFormat="false" ht="15" hidden="false" customHeight="false" outlineLevel="0" collapsed="false">
      <c r="A12" s="3" t="str">
        <f aca="false">통합데이터!A13</f>
        <v>인쇄·DM</v>
      </c>
      <c r="B12" s="3" t="str">
        <f aca="false">통합데이터!B13</f>
        <v>잡지 기사</v>
      </c>
      <c r="C12" s="20" t="n">
        <f aca="false">2017_접점비교!I11</f>
        <v>29</v>
      </c>
      <c r="D12" s="20" t="n">
        <f aca="false">2018_접점비교!I11</f>
        <v>31</v>
      </c>
      <c r="E12" s="20" t="n">
        <f aca="false">2019_접점비교!I11</f>
        <v>32</v>
      </c>
      <c r="F12" s="20" t="n">
        <f aca="false">2017_접점비교!J11</f>
        <v>30</v>
      </c>
      <c r="G12" s="20" t="n">
        <f aca="false">2018_접점비교!J11</f>
        <v>32</v>
      </c>
      <c r="H12" s="20" t="n">
        <f aca="false">2019_접점비교!J11</f>
        <v>27</v>
      </c>
      <c r="I12" s="20" t="n">
        <f aca="false">2017_접점비교!K11</f>
        <v>23</v>
      </c>
      <c r="J12" s="20" t="n">
        <f aca="false">2018_접점비교!K11</f>
        <v>25</v>
      </c>
      <c r="K12" s="20" t="n">
        <f aca="false">2019_접점비교!K11</f>
        <v>25</v>
      </c>
      <c r="L12" s="20" t="n">
        <f aca="false">IF(COUNT(I12:K12)&lt;2,"",MAX(I12:K12)-MIN(I12:K12))</f>
        <v>2</v>
      </c>
      <c r="M12" s="20" t="n">
        <f aca="false">COUNT(통합데이터!I13:K13)</f>
        <v>3</v>
      </c>
      <c r="N12" s="16" t="n">
        <f aca="false">IFERROR(AVERAGE(통합데이터!I13:K13),"")</f>
        <v>6.3</v>
      </c>
      <c r="O12" s="16" t="n">
        <f aca="false">IF(COUNT(통합데이터!J13:K13)=2,AVERAGE(통합데이터!J13:K13),"")</f>
        <v>5.15</v>
      </c>
      <c r="P12" s="20" t="n">
        <f aca="false">IF(O12="","",RANK(O12,$O$6:$O$39))</f>
        <v>24</v>
      </c>
      <c r="Q12" s="20" t="n">
        <f aca="false">IF(N12="","",RANK(N12,$N$6:$N$39)+COUNTIF($N$5:N11,N12))</f>
        <v>24</v>
      </c>
      <c r="R12" s="20" t="n">
        <f aca="false">IF(O12="","",RANK(O12,$O$6:$O$39)+COUNTIF($O$5:O11,O12))</f>
        <v>24</v>
      </c>
    </row>
    <row r="13" customFormat="false" ht="15" hidden="false" customHeight="false" outlineLevel="0" collapsed="false">
      <c r="A13" s="3" t="str">
        <f aca="false">통합데이터!A14</f>
        <v>인쇄·DM</v>
      </c>
      <c r="B13" s="3" t="str">
        <f aca="false">통합데이터!B14</f>
        <v>제품 카달로그/전단지</v>
      </c>
      <c r="C13" s="20" t="n">
        <f aca="false">2017_접점비교!I12</f>
        <v>32</v>
      </c>
      <c r="D13" s="20" t="n">
        <f aca="false">2018_접점비교!I12</f>
        <v>8</v>
      </c>
      <c r="E13" s="20" t="n">
        <f aca="false">2019_접점비교!I12</f>
        <v>8</v>
      </c>
      <c r="F13" s="20" t="n">
        <f aca="false">2017_접점비교!J12</f>
        <v>7</v>
      </c>
      <c r="G13" s="20" t="n">
        <f aca="false">2018_접점비교!J12</f>
        <v>7</v>
      </c>
      <c r="H13" s="20" t="n">
        <f aca="false">2019_접점비교!J12</f>
        <v>8</v>
      </c>
      <c r="I13" s="20" t="n">
        <f aca="false">2017_접점비교!K12</f>
        <v>11</v>
      </c>
      <c r="J13" s="20" t="n">
        <f aca="false">2018_접점비교!K12</f>
        <v>9</v>
      </c>
      <c r="K13" s="20" t="n">
        <f aca="false">2019_접점비교!K12</f>
        <v>9</v>
      </c>
      <c r="L13" s="20" t="n">
        <f aca="false">IF(COUNT(I13:K13)&lt;2,"",MAX(I13:K13)-MIN(I13:K13))</f>
        <v>2</v>
      </c>
      <c r="M13" s="20" t="n">
        <f aca="false">COUNT(통합데이터!I14:K14)</f>
        <v>3</v>
      </c>
      <c r="N13" s="16" t="n">
        <f aca="false">IFERROR(AVERAGE(통합데이터!I14:K14),"")</f>
        <v>19.7333333333333</v>
      </c>
      <c r="O13" s="16" t="n">
        <f aca="false">IF(COUNT(통합데이터!J14:K14)=2,AVERAGE(통합데이터!J14:K14),"")</f>
        <v>19.95</v>
      </c>
      <c r="P13" s="20" t="n">
        <f aca="false">IF(O13="","",RANK(O13,$O$6:$O$39))</f>
        <v>8</v>
      </c>
      <c r="Q13" s="20" t="n">
        <f aca="false">IF(N13="","",RANK(N13,$N$6:$N$39)+COUNTIF($N$5:N12,N13))</f>
        <v>8</v>
      </c>
      <c r="R13" s="20" t="n">
        <f aca="false">IF(O13="","",RANK(O13,$O$6:$O$39)+COUNTIF($O$5:O12,O13))</f>
        <v>8</v>
      </c>
    </row>
    <row r="14" customFormat="false" ht="15" hidden="false" customHeight="false" outlineLevel="0" collapsed="false">
      <c r="A14" s="3" t="str">
        <f aca="false">통합데이터!A15</f>
        <v>인쇄·DM</v>
      </c>
      <c r="B14" s="3" t="str">
        <f aca="false">통합데이터!B15</f>
        <v>광고 우편물/명세서 등</v>
      </c>
      <c r="C14" s="20" t="n">
        <f aca="false">2017_접점비교!I13</f>
        <v>7</v>
      </c>
      <c r="D14" s="20" t="n">
        <f aca="false">2018_접점비교!I13</f>
        <v>15</v>
      </c>
      <c r="E14" s="20" t="n">
        <f aca="false">2019_접점비교!I13</f>
        <v>17</v>
      </c>
      <c r="F14" s="20" t="n">
        <f aca="false">2017_접점비교!J13</f>
        <v>24</v>
      </c>
      <c r="G14" s="20" t="n">
        <f aca="false">2018_접점비교!J13</f>
        <v>20</v>
      </c>
      <c r="H14" s="20" t="n">
        <f aca="false">2019_접점비교!J13</f>
        <v>23</v>
      </c>
      <c r="I14" s="20" t="n">
        <f aca="false">2017_접점비교!K13</f>
        <v>23</v>
      </c>
      <c r="J14" s="20" t="n">
        <f aca="false">2018_접점비교!K13</f>
        <v>16</v>
      </c>
      <c r="K14" s="20" t="n">
        <f aca="false">2019_접점비교!K13</f>
        <v>17</v>
      </c>
      <c r="L14" s="20" t="n">
        <f aca="false">IF(COUNT(I14:K14)&lt;2,"",MAX(I14:K14)-MIN(I14:K14))</f>
        <v>7</v>
      </c>
      <c r="M14" s="20" t="n">
        <f aca="false">COUNT(통합데이터!I15:K15)</f>
        <v>3</v>
      </c>
      <c r="N14" s="16" t="n">
        <f aca="false">IFERROR(AVERAGE(통합데이터!I15:K15),"")</f>
        <v>8.6</v>
      </c>
      <c r="O14" s="16" t="n">
        <f aca="false">IF(COUNT(통합데이터!J15:K15)=2,AVERAGE(통합데이터!J15:K15),"")</f>
        <v>8.6</v>
      </c>
      <c r="P14" s="20" t="n">
        <f aca="false">IF(O14="","",RANK(O14,$O$6:$O$39))</f>
        <v>17</v>
      </c>
      <c r="Q14" s="20" t="n">
        <f aca="false">IF(N14="","",RANK(N14,$N$6:$N$39)+COUNTIF($N$5:N13,N14))</f>
        <v>19</v>
      </c>
      <c r="R14" s="20" t="n">
        <f aca="false">IF(O14="","",RANK(O14,$O$6:$O$39)+COUNTIF($O$5:O13,O14))</f>
        <v>17</v>
      </c>
    </row>
    <row r="15" customFormat="false" ht="15" hidden="false" customHeight="false" outlineLevel="0" collapsed="false">
      <c r="A15" s="3" t="str">
        <f aca="false">통합데이터!A16</f>
        <v>온라인·디지털</v>
      </c>
      <c r="B15" s="3" t="str">
        <f aca="false">통합데이터!B16</f>
        <v>배너 광고</v>
      </c>
      <c r="C15" s="20" t="n">
        <f aca="false">2017_접점비교!I14</f>
        <v>19</v>
      </c>
      <c r="D15" s="20" t="n">
        <f aca="false">2018_접점비교!I14</f>
        <v>20</v>
      </c>
      <c r="E15" s="20" t="n">
        <f aca="false">2019_접점비교!I14</f>
        <v>20</v>
      </c>
      <c r="F15" s="20" t="n">
        <f aca="false">2017_접점비교!J14</f>
        <v>25</v>
      </c>
      <c r="G15" s="20" t="n">
        <f aca="false">2018_접점비교!J14</f>
        <v>28</v>
      </c>
      <c r="H15" s="20" t="n">
        <f aca="false">2019_접점비교!J14</f>
        <v>29</v>
      </c>
      <c r="I15" s="20" t="n">
        <f aca="false">2017_접점비교!K14</f>
        <v>30</v>
      </c>
      <c r="J15" s="20" t="n">
        <f aca="false">2018_접점비교!K14</f>
        <v>29</v>
      </c>
      <c r="K15" s="20" t="n">
        <f aca="false">2019_접점비교!K14</f>
        <v>29</v>
      </c>
      <c r="L15" s="20" t="n">
        <f aca="false">IF(COUNT(I15:K15)&lt;2,"",MAX(I15:K15)-MIN(I15:K15))</f>
        <v>1</v>
      </c>
      <c r="M15" s="20" t="n">
        <f aca="false">COUNT(통합데이터!I16:K16)</f>
        <v>3</v>
      </c>
      <c r="N15" s="16" t="n">
        <f aca="false">IFERROR(AVERAGE(통합데이터!I16:K16),"")</f>
        <v>4.6</v>
      </c>
      <c r="O15" s="16" t="n">
        <f aca="false">IF(COUNT(통합데이터!J16:K16)=2,AVERAGE(통합데이터!J16:K16),"")</f>
        <v>3.8</v>
      </c>
      <c r="P15" s="20" t="n">
        <f aca="false">IF(O15="","",RANK(O15,$O$6:$O$39))</f>
        <v>29</v>
      </c>
      <c r="Q15" s="20" t="n">
        <f aca="false">IF(N15="","",RANK(N15,$N$6:$N$39)+COUNTIF($N$5:N14,N15))</f>
        <v>30</v>
      </c>
      <c r="R15" s="20" t="n">
        <f aca="false">IF(O15="","",RANK(O15,$O$6:$O$39)+COUNTIF($O$5:O14,O15))</f>
        <v>29</v>
      </c>
    </row>
    <row r="16" customFormat="false" ht="15" hidden="false" customHeight="false" outlineLevel="0" collapsed="false">
      <c r="A16" s="3" t="str">
        <f aca="false">통합데이터!A17</f>
        <v>온라인·디지털</v>
      </c>
      <c r="B16" s="3" t="str">
        <f aca="false">통합데이터!B17</f>
        <v>팝업 광고</v>
      </c>
      <c r="C16" s="20" t="n">
        <f aca="false">2017_접점비교!I15</f>
        <v>23</v>
      </c>
      <c r="D16" s="20" t="n">
        <f aca="false">2018_접점비교!I15</f>
        <v>23</v>
      </c>
      <c r="E16" s="20" t="n">
        <f aca="false">2019_접점비교!I15</f>
        <v>24</v>
      </c>
      <c r="F16" s="20" t="n">
        <f aca="false">2017_접점비교!J15</f>
        <v>30</v>
      </c>
      <c r="G16" s="20" t="n">
        <f aca="false">2018_접점비교!J15</f>
        <v>31</v>
      </c>
      <c r="H16" s="20" t="n">
        <f aca="false">2019_접점비교!J15</f>
        <v>31</v>
      </c>
      <c r="I16" s="20" t="n">
        <f aca="false">2017_접점비교!K15</f>
        <v>29</v>
      </c>
      <c r="J16" s="20" t="n">
        <f aca="false">2018_접점비교!K15</f>
        <v>33</v>
      </c>
      <c r="K16" s="20" t="n">
        <f aca="false">2019_접점비교!K15</f>
        <v>30</v>
      </c>
      <c r="L16" s="20" t="n">
        <f aca="false">IF(COUNT(I16:K16)&lt;2,"",MAX(I16:K16)-MIN(I16:K16))</f>
        <v>4</v>
      </c>
      <c r="M16" s="20" t="n">
        <f aca="false">COUNT(통합데이터!I17:K17)</f>
        <v>3</v>
      </c>
      <c r="N16" s="16" t="n">
        <f aca="false">IFERROR(AVERAGE(통합데이터!I17:K17),"")</f>
        <v>4.26666666666667</v>
      </c>
      <c r="O16" s="16" t="n">
        <f aca="false">IF(COUNT(통합데이터!J17:K17)=2,AVERAGE(통합데이터!J17:K17),"")</f>
        <v>3.2</v>
      </c>
      <c r="P16" s="20" t="n">
        <f aca="false">IF(O16="","",RANK(O16,$O$6:$O$39))</f>
        <v>31</v>
      </c>
      <c r="Q16" s="20" t="n">
        <f aca="false">IF(N16="","",RANK(N16,$N$6:$N$39)+COUNTIF($N$5:N15,N16))</f>
        <v>32</v>
      </c>
      <c r="R16" s="20" t="n">
        <f aca="false">IF(O16="","",RANK(O16,$O$6:$O$39)+COUNTIF($O$5:O15,O16))</f>
        <v>31</v>
      </c>
    </row>
    <row r="17" customFormat="false" ht="15" hidden="false" customHeight="false" outlineLevel="0" collapsed="false">
      <c r="A17" s="3" t="str">
        <f aca="false">통합데이터!A18</f>
        <v>온라인·디지털</v>
      </c>
      <c r="B17" s="3" t="str">
        <f aca="false">통합데이터!B18</f>
        <v>동영상 광고 (동영상 재생 전후 등)</v>
      </c>
      <c r="C17" s="20" t="n">
        <f aca="false">2017_접점비교!I16</f>
        <v>25</v>
      </c>
      <c r="D17" s="20" t="n">
        <f aca="false">2018_접점비교!I16</f>
        <v>21</v>
      </c>
      <c r="E17" s="20" t="n">
        <f aca="false">2019_접점비교!I16</f>
        <v>20</v>
      </c>
      <c r="F17" s="20" t="n">
        <f aca="false">2017_접점비교!J16</f>
        <v>20</v>
      </c>
      <c r="G17" s="20" t="n">
        <f aca="false">2018_접점비교!J16</f>
        <v>22</v>
      </c>
      <c r="H17" s="20" t="n">
        <f aca="false">2019_접점비교!J16</f>
        <v>20</v>
      </c>
      <c r="I17" s="20" t="n">
        <f aca="false">2017_접점비교!K16</f>
        <v>19</v>
      </c>
      <c r="J17" s="20" t="n">
        <f aca="false">2018_접점비교!K16</f>
        <v>26</v>
      </c>
      <c r="K17" s="20" t="n">
        <f aca="false">2019_접점비교!K16</f>
        <v>23</v>
      </c>
      <c r="L17" s="20" t="n">
        <f aca="false">IF(COUNT(I17:K17)&lt;2,"",MAX(I17:K17)-MIN(I17:K17))</f>
        <v>7</v>
      </c>
      <c r="M17" s="20" t="n">
        <f aca="false">COUNT(통합데이터!I18:K18)</f>
        <v>3</v>
      </c>
      <c r="N17" s="16" t="n">
        <f aca="false">IFERROR(AVERAGE(통합데이터!I18:K18),"")</f>
        <v>7.16666666666667</v>
      </c>
      <c r="O17" s="16" t="n">
        <f aca="false">IF(COUNT(통합데이터!J18:K18)=2,AVERAGE(통합데이터!J18:K18),"")</f>
        <v>5.65</v>
      </c>
      <c r="P17" s="20" t="n">
        <f aca="false">IF(O17="","",RANK(O17,$O$6:$O$39))</f>
        <v>23</v>
      </c>
      <c r="Q17" s="20" t="n">
        <f aca="false">IF(N17="","",RANK(N17,$N$6:$N$39)+COUNTIF($N$5:N16,N17))</f>
        <v>22</v>
      </c>
      <c r="R17" s="20" t="n">
        <f aca="false">IF(O17="","",RANK(O17,$O$6:$O$39)+COUNTIF($O$5:O16,O17))</f>
        <v>23</v>
      </c>
    </row>
    <row r="18" customFormat="false" ht="15" hidden="false" customHeight="false" outlineLevel="0" collapsed="false">
      <c r="A18" s="3" t="str">
        <f aca="false">통합데이터!A19</f>
        <v>온라인·디지털</v>
      </c>
      <c r="B18" s="3" t="str">
        <f aca="false">통합데이터!B19</f>
        <v>검색어/키워드 광고</v>
      </c>
      <c r="C18" s="20" t="n">
        <f aca="false">2017_접점비교!I17</f>
        <v>22</v>
      </c>
      <c r="D18" s="20" t="n">
        <f aca="false">2018_접점비교!I17</f>
        <v>25</v>
      </c>
      <c r="E18" s="20" t="n">
        <f aca="false">2019_접점비교!I17</f>
        <v>22</v>
      </c>
      <c r="F18" s="20" t="n">
        <f aca="false">2017_접점비교!J17</f>
        <v>22</v>
      </c>
      <c r="G18" s="20" t="n">
        <f aca="false">2018_접점비교!J17</f>
        <v>29</v>
      </c>
      <c r="H18" s="20" t="n">
        <f aca="false">2019_접점비교!J17</f>
        <v>27</v>
      </c>
      <c r="I18" s="20" t="n">
        <f aca="false">2017_접점비교!K17</f>
        <v>19</v>
      </c>
      <c r="J18" s="20" t="n">
        <f aca="false">2018_접점비교!K17</f>
        <v>23</v>
      </c>
      <c r="K18" s="20" t="n">
        <f aca="false">2019_접점비교!K17</f>
        <v>21</v>
      </c>
      <c r="L18" s="20" t="n">
        <f aca="false">IF(COUNT(I18:K18)&lt;2,"",MAX(I18:K18)-MIN(I18:K18))</f>
        <v>4</v>
      </c>
      <c r="M18" s="20" t="n">
        <f aca="false">COUNT(통합데이터!I19:K19)</f>
        <v>3</v>
      </c>
      <c r="N18" s="16" t="n">
        <f aca="false">IFERROR(AVERAGE(통합데이터!I19:K19),"")</f>
        <v>7.53333333333333</v>
      </c>
      <c r="O18" s="16" t="n">
        <f aca="false">IF(COUNT(통합데이터!J19:K19)=2,AVERAGE(통합데이터!J19:K19),"")</f>
        <v>6.2</v>
      </c>
      <c r="P18" s="20" t="n">
        <f aca="false">IF(O18="","",RANK(O18,$O$6:$O$39))</f>
        <v>21</v>
      </c>
      <c r="Q18" s="20" t="n">
        <f aca="false">IF(N18="","",RANK(N18,$N$6:$N$39)+COUNTIF($N$5:N17,N18))</f>
        <v>21</v>
      </c>
      <c r="R18" s="20" t="n">
        <f aca="false">IF(O18="","",RANK(O18,$O$6:$O$39)+COUNTIF($O$5:O17,O18))</f>
        <v>21</v>
      </c>
    </row>
    <row r="19" customFormat="false" ht="15" hidden="false" customHeight="false" outlineLevel="0" collapsed="false">
      <c r="A19" s="3" t="str">
        <f aca="false">통합데이터!A20</f>
        <v>온라인·디지털</v>
      </c>
      <c r="B19" s="3" t="str">
        <f aca="false">통합데이터!B20</f>
        <v>인터넷 기사</v>
      </c>
      <c r="C19" s="20" t="n">
        <f aca="false">2017_접점비교!I18</f>
        <v>20</v>
      </c>
      <c r="D19" s="20" t="n">
        <f aca="false">2018_접점비교!I18</f>
        <v>12</v>
      </c>
      <c r="E19" s="20" t="n">
        <f aca="false">2019_접점비교!I18</f>
        <v>13</v>
      </c>
      <c r="F19" s="20" t="n">
        <f aca="false">2017_접점비교!J18</f>
        <v>16</v>
      </c>
      <c r="G19" s="20" t="n">
        <f aca="false">2018_접점비교!J18</f>
        <v>17</v>
      </c>
      <c r="H19" s="20" t="n">
        <f aca="false">2019_접점비교!J18</f>
        <v>17</v>
      </c>
      <c r="I19" s="20" t="n">
        <f aca="false">2017_접점비교!K18</f>
        <v>12</v>
      </c>
      <c r="J19" s="20" t="n">
        <f aca="false">2018_접점비교!K18</f>
        <v>13</v>
      </c>
      <c r="K19" s="20" t="n">
        <f aca="false">2019_접점비교!K18</f>
        <v>13</v>
      </c>
      <c r="L19" s="20" t="n">
        <f aca="false">IF(COUNT(I19:K19)&lt;2,"",MAX(I19:K19)-MIN(I19:K19))</f>
        <v>1</v>
      </c>
      <c r="M19" s="20" t="n">
        <f aca="false">COUNT(통합데이터!I20:K20)</f>
        <v>3</v>
      </c>
      <c r="N19" s="16" t="n">
        <f aca="false">IFERROR(AVERAGE(통합데이터!I20:K20),"")</f>
        <v>14.3666666666667</v>
      </c>
      <c r="O19" s="16" t="n">
        <f aca="false">IF(COUNT(통합데이터!J20:K20)=2,AVERAGE(통합데이터!J20:K20),"")</f>
        <v>12.6</v>
      </c>
      <c r="P19" s="20" t="n">
        <f aca="false">IF(O19="","",RANK(O19,$O$6:$O$39))</f>
        <v>13</v>
      </c>
      <c r="Q19" s="20" t="n">
        <f aca="false">IF(N19="","",RANK(N19,$N$6:$N$39)+COUNTIF($N$5:N18,N19))</f>
        <v>13</v>
      </c>
      <c r="R19" s="20" t="n">
        <f aca="false">IF(O19="","",RANK(O19,$O$6:$O$39)+COUNTIF($O$5:O18,O19))</f>
        <v>13</v>
      </c>
    </row>
    <row r="20" customFormat="false" ht="15" hidden="false" customHeight="false" outlineLevel="0" collapsed="false">
      <c r="A20" s="3" t="str">
        <f aca="false">통합데이터!A21</f>
        <v>온라인·디지털</v>
      </c>
      <c r="B20" s="3" t="str">
        <f aca="false">통합데이터!B21</f>
        <v>SNS(페이스북, 인스타그램, 트위터 등) 광고/홍보</v>
      </c>
      <c r="C20" s="20" t="n">
        <f aca="false">2017_접점비교!I19</f>
        <v>9</v>
      </c>
      <c r="D20" s="20" t="n">
        <f aca="false">2018_접점비교!I19</f>
        <v>19</v>
      </c>
      <c r="E20" s="20" t="n">
        <f aca="false">2019_접점비교!I19</f>
        <v>19</v>
      </c>
      <c r="F20" s="20" t="n">
        <f aca="false">2017_접점비교!J19</f>
        <v>17</v>
      </c>
      <c r="G20" s="20" t="n">
        <f aca="false">2018_접점비교!J19</f>
        <v>16</v>
      </c>
      <c r="H20" s="20" t="n">
        <f aca="false">2019_접점비교!J19</f>
        <v>16</v>
      </c>
      <c r="I20" s="20" t="n">
        <f aca="false">2017_접점비교!K19</f>
        <v>14</v>
      </c>
      <c r="J20" s="20" t="n">
        <f aca="false">2018_접점비교!K19</f>
        <v>14</v>
      </c>
      <c r="K20" s="20" t="n">
        <f aca="false">2019_접점비교!K19</f>
        <v>15</v>
      </c>
      <c r="L20" s="20" t="n">
        <f aca="false">IF(COUNT(I20:K20)&lt;2,"",MAX(I20:K20)-MIN(I20:K20))</f>
        <v>1</v>
      </c>
      <c r="M20" s="20" t="n">
        <f aca="false">COUNT(통합데이터!I21:K21)</f>
        <v>3</v>
      </c>
      <c r="N20" s="16" t="n">
        <f aca="false">IFERROR(AVERAGE(통합데이터!I21:K21),"")</f>
        <v>12.2</v>
      </c>
      <c r="O20" s="16" t="n">
        <f aca="false">IF(COUNT(통합데이터!J21:K21)=2,AVERAGE(통합데이터!J21:K21),"")</f>
        <v>10.55</v>
      </c>
      <c r="P20" s="20" t="n">
        <f aca="false">IF(O20="","",RANK(O20,$O$6:$O$39))</f>
        <v>15</v>
      </c>
      <c r="Q20" s="20" t="n">
        <f aca="false">IF(N20="","",RANK(N20,$N$6:$N$39)+COUNTIF($N$5:N19,N20))</f>
        <v>14</v>
      </c>
      <c r="R20" s="20" t="n">
        <f aca="false">IF(O20="","",RANK(O20,$O$6:$O$39)+COUNTIF($O$5:O19,O20))</f>
        <v>15</v>
      </c>
    </row>
    <row r="21" customFormat="false" ht="15" hidden="false" customHeight="false" outlineLevel="0" collapsed="false">
      <c r="A21" s="3" t="str">
        <f aca="false">통합데이터!A22</f>
        <v>온라인·디지털</v>
      </c>
      <c r="B21" s="3" t="str">
        <f aca="false">통합데이터!B22</f>
        <v>SNS, 블로그 사용자 후기 및 전문가 리뷰</v>
      </c>
      <c r="C21" s="20" t="n">
        <f aca="false">2017_접점비교!I20</f>
        <v>18</v>
      </c>
      <c r="D21" s="20" t="n">
        <f aca="false">2018_접점비교!I20</f>
        <v>16</v>
      </c>
      <c r="E21" s="20" t="n">
        <f aca="false">2019_접점비교!I20</f>
        <v>16</v>
      </c>
      <c r="F21" s="20" t="n">
        <f aca="false">2017_접점비교!J20</f>
        <v>14</v>
      </c>
      <c r="G21" s="20" t="n">
        <f aca="false">2018_접점비교!J20</f>
        <v>12</v>
      </c>
      <c r="H21" s="20" t="n">
        <f aca="false">2019_접점비교!J20</f>
        <v>9</v>
      </c>
      <c r="I21" s="20" t="n">
        <f aca="false">2017_접점비교!K20</f>
        <v>7</v>
      </c>
      <c r="J21" s="20" t="n">
        <f aca="false">2018_접점비교!K20</f>
        <v>7</v>
      </c>
      <c r="K21" s="20" t="n">
        <f aca="false">2019_접점비교!K20</f>
        <v>7</v>
      </c>
      <c r="L21" s="20" t="n">
        <f aca="false">IF(COUNT(I21:K21)&lt;2,"",MAX(I21:K21)-MIN(I21:K21))</f>
        <v>0</v>
      </c>
      <c r="M21" s="20" t="n">
        <f aca="false">COUNT(통합데이터!I22:K22)</f>
        <v>3</v>
      </c>
      <c r="N21" s="16" t="n">
        <f aca="false">IFERROR(AVERAGE(통합데이터!I22:K22),"")</f>
        <v>23</v>
      </c>
      <c r="O21" s="16" t="n">
        <f aca="false">IF(COUNT(통합데이터!J22:K22)=2,AVERAGE(통합데이터!J22:K22),"")</f>
        <v>22.8</v>
      </c>
      <c r="P21" s="20" t="n">
        <f aca="false">IF(O21="","",RANK(O21,$O$6:$O$39))</f>
        <v>7</v>
      </c>
      <c r="Q21" s="20" t="n">
        <f aca="false">IF(N21="","",RANK(N21,$N$6:$N$39)+COUNTIF($N$5:N20,N21))</f>
        <v>7</v>
      </c>
      <c r="R21" s="20" t="n">
        <f aca="false">IF(O21="","",RANK(O21,$O$6:$O$39)+COUNTIF($O$5:O20,O21))</f>
        <v>7</v>
      </c>
    </row>
    <row r="22" customFormat="false" ht="15" hidden="false" customHeight="false" outlineLevel="0" collapsed="false">
      <c r="A22" s="3" t="str">
        <f aca="false">통합데이터!A23</f>
        <v>온라인·디지털</v>
      </c>
      <c r="B22" s="3" t="str">
        <f aca="false">통합데이터!B23</f>
        <v>포털 카페 및 커뮤니티(네이버, 다음 등)</v>
      </c>
      <c r="C22" s="20" t="n">
        <f aca="false">2017_접점비교!I21</f>
        <v>15</v>
      </c>
      <c r="D22" s="20" t="n">
        <f aca="false">2018_접점비교!I21</f>
        <v>13</v>
      </c>
      <c r="E22" s="20" t="n">
        <f aca="false">2019_접점비교!I21</f>
        <v>12</v>
      </c>
      <c r="F22" s="20" t="n">
        <f aca="false">2017_접점비교!J21</f>
        <v>11</v>
      </c>
      <c r="G22" s="20" t="n">
        <f aca="false">2018_접점비교!J21</f>
        <v>14</v>
      </c>
      <c r="H22" s="20" t="n">
        <f aca="false">2019_접점비교!J21</f>
        <v>12</v>
      </c>
      <c r="I22" s="20" t="n">
        <f aca="false">2017_접점비교!K21</f>
        <v>8</v>
      </c>
      <c r="J22" s="20" t="n">
        <f aca="false">2018_접점비교!K21</f>
        <v>11</v>
      </c>
      <c r="K22" s="20" t="n">
        <f aca="false">2019_접점비교!K21</f>
        <v>10</v>
      </c>
      <c r="L22" s="20" t="n">
        <f aca="false">IF(COUNT(I22:K22)&lt;2,"",MAX(I22:K22)-MIN(I22:K22))</f>
        <v>3</v>
      </c>
      <c r="M22" s="20" t="n">
        <f aca="false">COUNT(통합데이터!I23:K23)</f>
        <v>3</v>
      </c>
      <c r="N22" s="16" t="n">
        <f aca="false">IFERROR(AVERAGE(통합데이터!I23:K23),"")</f>
        <v>18.7333333333333</v>
      </c>
      <c r="O22" s="16" t="n">
        <f aca="false">IF(COUNT(통합데이터!J23:K23)=2,AVERAGE(통합데이터!J23:K23),"")</f>
        <v>16.65</v>
      </c>
      <c r="P22" s="20" t="n">
        <f aca="false">IF(O22="","",RANK(O22,$O$6:$O$39))</f>
        <v>11</v>
      </c>
      <c r="Q22" s="20" t="n">
        <f aca="false">IF(N22="","",RANK(N22,$N$6:$N$39)+COUNTIF($N$5:N21,N22))</f>
        <v>11</v>
      </c>
      <c r="R22" s="20" t="n">
        <f aca="false">IF(O22="","",RANK(O22,$O$6:$O$39)+COUNTIF($O$5:O21,O22))</f>
        <v>11</v>
      </c>
    </row>
    <row r="23" customFormat="false" ht="15" hidden="false" customHeight="false" outlineLevel="0" collapsed="false">
      <c r="A23" s="3" t="str">
        <f aca="false">통합데이터!A24</f>
        <v>온라인·디지털</v>
      </c>
      <c r="B23" s="3" t="str">
        <f aca="false">통합데이터!B24</f>
        <v>가격비교사이트 및 제품 관련 전문사이트</v>
      </c>
      <c r="C23" s="20" t="n">
        <f aca="false">2017_접점비교!I22</f>
        <v>11</v>
      </c>
      <c r="D23" s="20" t="n">
        <f aca="false">2018_접점비교!I22</f>
        <v>24</v>
      </c>
      <c r="E23" s="20" t="n">
        <f aca="false">2019_접점비교!I22</f>
        <v>23</v>
      </c>
      <c r="F23" s="20" t="n">
        <f aca="false">2017_접점비교!J22</f>
        <v>19</v>
      </c>
      <c r="G23" s="20" t="n">
        <f aca="false">2018_접점비교!J22</f>
        <v>18</v>
      </c>
      <c r="H23" s="20" t="n">
        <f aca="false">2019_접점비교!J22</f>
        <v>18</v>
      </c>
      <c r="I23" s="20" t="n">
        <f aca="false">2017_접점비교!K22</f>
        <v>10</v>
      </c>
      <c r="J23" s="20" t="n">
        <f aca="false">2018_접점비교!K22</f>
        <v>10</v>
      </c>
      <c r="K23" s="20" t="n">
        <f aca="false">2019_접점비교!K22</f>
        <v>8</v>
      </c>
      <c r="L23" s="20" t="n">
        <f aca="false">IF(COUNT(I23:K23)&lt;2,"",MAX(I23:K23)-MIN(I23:K23))</f>
        <v>2</v>
      </c>
      <c r="M23" s="20" t="n">
        <f aca="false">COUNT(통합데이터!I24:K24)</f>
        <v>3</v>
      </c>
      <c r="N23" s="16" t="n">
        <f aca="false">IFERROR(AVERAGE(통합데이터!I24:K24),"")</f>
        <v>19.6333333333333</v>
      </c>
      <c r="O23" s="16" t="n">
        <f aca="false">IF(COUNT(통합데이터!J24:K24)=2,AVERAGE(통합데이터!J24:K24),"")</f>
        <v>19.75</v>
      </c>
      <c r="P23" s="20" t="n">
        <f aca="false">IF(O23="","",RANK(O23,$O$6:$O$39))</f>
        <v>9</v>
      </c>
      <c r="Q23" s="20" t="n">
        <f aca="false">IF(N23="","",RANK(N23,$N$6:$N$39)+COUNTIF($N$5:N22,N23))</f>
        <v>9</v>
      </c>
      <c r="R23" s="20" t="n">
        <f aca="false">IF(O23="","",RANK(O23,$O$6:$O$39)+COUNTIF($O$5:O22,O23))</f>
        <v>9</v>
      </c>
    </row>
    <row r="24" customFormat="false" ht="15" hidden="false" customHeight="false" outlineLevel="0" collapsed="false">
      <c r="A24" s="3" t="str">
        <f aca="false">통합데이터!A25</f>
        <v>온라인·디지털</v>
      </c>
      <c r="B24" s="3" t="str">
        <f aca="false">통합데이터!B25</f>
        <v>해당 제품/매장 웹사이트</v>
      </c>
      <c r="C24" s="20" t="n">
        <f aca="false">2017_접점비교!I23</f>
        <v>17</v>
      </c>
      <c r="D24" s="20" t="n">
        <f aca="false">2018_접점비교!I23</f>
        <v>27</v>
      </c>
      <c r="E24" s="20" t="n">
        <f aca="false">2019_접점비교!I23</f>
        <v>27</v>
      </c>
      <c r="F24" s="20" t="n">
        <f aca="false">2017_접점비교!J23</f>
        <v>22</v>
      </c>
      <c r="G24" s="20" t="n">
        <f aca="false">2018_접점비교!J23</f>
        <v>23</v>
      </c>
      <c r="H24" s="20" t="n">
        <f aca="false">2019_접점비교!J23</f>
        <v>22</v>
      </c>
      <c r="I24" s="20" t="n">
        <f aca="false">2017_접점비교!K23</f>
        <v>17</v>
      </c>
      <c r="J24" s="20" t="n">
        <f aca="false">2018_접점비교!K23</f>
        <v>18</v>
      </c>
      <c r="K24" s="20" t="n">
        <f aca="false">2019_접점비교!K23</f>
        <v>16</v>
      </c>
      <c r="L24" s="20" t="n">
        <f aca="false">IF(COUNT(I24:K24)&lt;2,"",MAX(I24:K24)-MIN(I24:K24))</f>
        <v>2</v>
      </c>
      <c r="M24" s="20" t="n">
        <f aca="false">COUNT(통합데이터!I25:K25)</f>
        <v>3</v>
      </c>
      <c r="N24" s="16" t="n">
        <f aca="false">IFERROR(AVERAGE(통합데이터!I25:K25),"")</f>
        <v>9.26666666666667</v>
      </c>
      <c r="O24" s="16" t="n">
        <f aca="false">IF(COUNT(통합데이터!J25:K25)=2,AVERAGE(통합데이터!J25:K25),"")</f>
        <v>8.65</v>
      </c>
      <c r="P24" s="20" t="n">
        <f aca="false">IF(O24="","",RANK(O24,$O$6:$O$39))</f>
        <v>16</v>
      </c>
      <c r="Q24" s="20" t="n">
        <f aca="false">IF(N24="","",RANK(N24,$N$6:$N$39)+COUNTIF($N$5:N23,N24))</f>
        <v>17</v>
      </c>
      <c r="R24" s="20" t="n">
        <f aca="false">IF(O24="","",RANK(O24,$O$6:$O$39)+COUNTIF($O$5:O23,O24))</f>
        <v>16</v>
      </c>
    </row>
    <row r="25" customFormat="false" ht="15" hidden="false" customHeight="false" outlineLevel="0" collapsed="false">
      <c r="A25" s="3" t="str">
        <f aca="false">통합데이터!A26</f>
        <v>온라인·디지털</v>
      </c>
      <c r="B25" s="3" t="str">
        <f aca="false">통합데이터!B26</f>
        <v>이메일 광고/뉴스레터 등</v>
      </c>
      <c r="C25" s="20" t="n">
        <f aca="false">2017_접점비교!I24</f>
        <v>21</v>
      </c>
      <c r="D25" s="20" t="n">
        <f aca="false">2018_접점비교!I24</f>
        <v>30</v>
      </c>
      <c r="E25" s="20" t="n">
        <f aca="false">2019_접점비교!I24</f>
        <v>29</v>
      </c>
      <c r="F25" s="20" t="n">
        <f aca="false">2017_접점비교!J24</f>
        <v>33</v>
      </c>
      <c r="G25" s="20" t="n">
        <f aca="false">2018_접점비교!J24</f>
        <v>34</v>
      </c>
      <c r="H25" s="20" t="n">
        <f aca="false">2019_접점비교!J24</f>
        <v>33</v>
      </c>
      <c r="I25" s="20" t="n">
        <f aca="false">2017_접점비교!K24</f>
        <v>33</v>
      </c>
      <c r="J25" s="20" t="n">
        <f aca="false">2018_접점비교!K24</f>
        <v>33</v>
      </c>
      <c r="K25" s="20" t="n">
        <f aca="false">2019_접점비교!K24</f>
        <v>32</v>
      </c>
      <c r="L25" s="20" t="n">
        <f aca="false">IF(COUNT(I25:K25)&lt;2,"",MAX(I25:K25)-MIN(I25:K25))</f>
        <v>1</v>
      </c>
      <c r="M25" s="20" t="n">
        <f aca="false">COUNT(통합데이터!I26:K26)</f>
        <v>3</v>
      </c>
      <c r="N25" s="16" t="n">
        <f aca="false">IFERROR(AVERAGE(통합데이터!I26:K26),"")</f>
        <v>3.63333333333333</v>
      </c>
      <c r="O25" s="16" t="n">
        <f aca="false">IF(COUNT(통합데이터!J26:K26)=2,AVERAGE(통합데이터!J26:K26),"")</f>
        <v>2.95</v>
      </c>
      <c r="P25" s="20" t="n">
        <f aca="false">IF(O25="","",RANK(O25,$O$6:$O$39))</f>
        <v>33</v>
      </c>
      <c r="Q25" s="20" t="n">
        <f aca="false">IF(N25="","",RANK(N25,$N$6:$N$39)+COUNTIF($N$5:N24,N25))</f>
        <v>34</v>
      </c>
      <c r="R25" s="20" t="n">
        <f aca="false">IF(O25="","",RANK(O25,$O$6:$O$39)+COUNTIF($O$5:O24,O25))</f>
        <v>33</v>
      </c>
    </row>
    <row r="26" customFormat="false" ht="15" hidden="false" customHeight="false" outlineLevel="0" collapsed="false">
      <c r="A26" s="3" t="str">
        <f aca="false">통합데이터!A27</f>
        <v>옥외·공간</v>
      </c>
      <c r="B26" s="3" t="str">
        <f aca="false">통합데이터!B27</f>
        <v>건물 외벽/옥상, 역사 및 정류장 광고</v>
      </c>
      <c r="C26" s="20" t="n">
        <f aca="false">2017_접점비교!I25</f>
        <v>31</v>
      </c>
      <c r="D26" s="20" t="n">
        <f aca="false">2018_접점비교!I25</f>
        <v>4</v>
      </c>
      <c r="E26" s="20" t="n">
        <f aca="false">2019_접점비교!I25</f>
        <v>4</v>
      </c>
      <c r="F26" s="20" t="n">
        <f aca="false">2017_접점비교!J25</f>
        <v>9</v>
      </c>
      <c r="G26" s="20" t="n">
        <f aca="false">2018_접점비교!J25</f>
        <v>13</v>
      </c>
      <c r="H26" s="20" t="n">
        <f aca="false">2019_접점비교!J25</f>
        <v>14</v>
      </c>
      <c r="I26" s="20" t="n">
        <f aca="false">2017_접점비교!K25</f>
        <v>16</v>
      </c>
      <c r="J26" s="20" t="n">
        <f aca="false">2018_접점비교!K25</f>
        <v>18</v>
      </c>
      <c r="K26" s="20" t="n">
        <f aca="false">2019_접점비교!K25</f>
        <v>17</v>
      </c>
      <c r="L26" s="20" t="n">
        <f aca="false">IF(COUNT(I26:K26)&lt;2,"",MAX(I26:K26)-MIN(I26:K26))</f>
        <v>2</v>
      </c>
      <c r="M26" s="20" t="n">
        <f aca="false">COUNT(통합데이터!I27:K27)</f>
        <v>3</v>
      </c>
      <c r="N26" s="16" t="n">
        <f aca="false">IFERROR(AVERAGE(통합데이터!I27:K27),"")</f>
        <v>9.3</v>
      </c>
      <c r="O26" s="16" t="n">
        <f aca="false">IF(COUNT(통합데이터!J27:K27)=2,AVERAGE(통합데이터!J27:K27),"")</f>
        <v>8.1</v>
      </c>
      <c r="P26" s="20" t="n">
        <f aca="false">IF(O26="","",RANK(O26,$O$6:$O$39))</f>
        <v>19</v>
      </c>
      <c r="Q26" s="20" t="n">
        <f aca="false">IF(N26="","",RANK(N26,$N$6:$N$39)+COUNTIF($N$5:N25,N26))</f>
        <v>16</v>
      </c>
      <c r="R26" s="20" t="n">
        <f aca="false">IF(O26="","",RANK(O26,$O$6:$O$39)+COUNTIF($O$5:O25,O26))</f>
        <v>19</v>
      </c>
    </row>
    <row r="27" customFormat="false" ht="15" hidden="false" customHeight="false" outlineLevel="0" collapsed="false">
      <c r="A27" s="3" t="str">
        <f aca="false">통합데이터!A28</f>
        <v>옥외·공간</v>
      </c>
      <c r="B27" s="3" t="str">
        <f aca="false">통합데이터!B28</f>
        <v>버스, 택시, 지하철 광고</v>
      </c>
      <c r="C27" s="20" t="n">
        <f aca="false">2017_접점비교!I26</f>
        <v>8</v>
      </c>
      <c r="D27" s="20" t="n">
        <f aca="false">2018_접점비교!I26</f>
        <v>9</v>
      </c>
      <c r="E27" s="20" t="n">
        <f aca="false">2019_접점비교!I26</f>
        <v>5</v>
      </c>
      <c r="F27" s="20" t="n">
        <f aca="false">2017_접점비교!J26</f>
        <v>15</v>
      </c>
      <c r="G27" s="20" t="n">
        <f aca="false">2018_접점비교!J26</f>
        <v>15</v>
      </c>
      <c r="H27" s="20" t="n">
        <f aca="false">2019_접점비교!J26</f>
        <v>15</v>
      </c>
      <c r="I27" s="20" t="n">
        <f aca="false">2017_접점비교!K26</f>
        <v>21</v>
      </c>
      <c r="J27" s="20" t="n">
        <f aca="false">2018_접점비교!K26</f>
        <v>20</v>
      </c>
      <c r="K27" s="20" t="n">
        <f aca="false">2019_접점비교!K26</f>
        <v>19</v>
      </c>
      <c r="L27" s="20" t="n">
        <f aca="false">IF(COUNT(I27:K27)&lt;2,"",MAX(I27:K27)-MIN(I27:K27))</f>
        <v>2</v>
      </c>
      <c r="M27" s="20" t="n">
        <f aca="false">COUNT(통합데이터!I28:K28)</f>
        <v>3</v>
      </c>
      <c r="N27" s="16" t="n">
        <f aca="false">IFERROR(AVERAGE(통합데이터!I28:K28),"")</f>
        <v>8.26666666666667</v>
      </c>
      <c r="O27" s="16" t="n">
        <f aca="false">IF(COUNT(통합데이터!J28:K28)=2,AVERAGE(통합데이터!J28:K28),"")</f>
        <v>7.35</v>
      </c>
      <c r="P27" s="20" t="n">
        <f aca="false">IF(O27="","",RANK(O27,$O$6:$O$39))</f>
        <v>20</v>
      </c>
      <c r="Q27" s="20" t="n">
        <f aca="false">IF(N27="","",RANK(N27,$N$6:$N$39)+COUNTIF($N$5:N26,N27))</f>
        <v>20</v>
      </c>
      <c r="R27" s="20" t="n">
        <f aca="false">IF(O27="","",RANK(O27,$O$6:$O$39)+COUNTIF($O$5:O26,O27))</f>
        <v>20</v>
      </c>
    </row>
    <row r="28" customFormat="false" ht="15" hidden="false" customHeight="false" outlineLevel="0" collapsed="false">
      <c r="A28" s="3" t="str">
        <f aca="false">통합데이터!A29</f>
        <v>옥외·공간</v>
      </c>
      <c r="B28" s="3" t="str">
        <f aca="false">통합데이터!B29</f>
        <v>영화관, 스포츠 경기장, 공연장 등 광고</v>
      </c>
      <c r="C28" s="20" t="n">
        <f aca="false">2017_접점비교!I27</f>
        <v>14</v>
      </c>
      <c r="D28" s="20" t="n">
        <f aca="false">2018_접점비교!I27</f>
        <v>11</v>
      </c>
      <c r="E28" s="20" t="n">
        <f aca="false">2019_접점비교!I27</f>
        <v>11</v>
      </c>
      <c r="F28" s="20" t="n">
        <f aca="false">2017_접점비교!J27</f>
        <v>13</v>
      </c>
      <c r="G28" s="20" t="n">
        <f aca="false">2018_접점비교!J27</f>
        <v>10</v>
      </c>
      <c r="H28" s="20" t="n">
        <f aca="false">2019_접점비교!J27</f>
        <v>11</v>
      </c>
      <c r="I28" s="20" t="n">
        <f aca="false">2017_접점비교!K27</f>
        <v>18</v>
      </c>
      <c r="J28" s="20" t="n">
        <f aca="false">2018_접점비교!K27</f>
        <v>17</v>
      </c>
      <c r="K28" s="20" t="n">
        <f aca="false">2019_접점비교!K27</f>
        <v>19</v>
      </c>
      <c r="L28" s="20" t="n">
        <f aca="false">IF(COUNT(I28:K28)&lt;2,"",MAX(I28:K28)-MIN(I28:K28))</f>
        <v>2</v>
      </c>
      <c r="M28" s="20" t="n">
        <f aca="false">COUNT(통합데이터!I29:K29)</f>
        <v>3</v>
      </c>
      <c r="N28" s="16" t="n">
        <f aca="false">IFERROR(AVERAGE(통합데이터!I29:K29),"")</f>
        <v>9.03333333333333</v>
      </c>
      <c r="O28" s="16" t="n">
        <f aca="false">IF(COUNT(통합데이터!J29:K29)=2,AVERAGE(통합데이터!J29:K29),"")</f>
        <v>8.35</v>
      </c>
      <c r="P28" s="20" t="n">
        <f aca="false">IF(O28="","",RANK(O28,$O$6:$O$39))</f>
        <v>18</v>
      </c>
      <c r="Q28" s="20" t="n">
        <f aca="false">IF(N28="","",RANK(N28,$N$6:$N$39)+COUNTIF($N$5:N27,N28))</f>
        <v>18</v>
      </c>
      <c r="R28" s="20" t="n">
        <f aca="false">IF(O28="","",RANK(O28,$O$6:$O$39)+COUNTIF($O$5:O27,O28))</f>
        <v>18</v>
      </c>
    </row>
    <row r="29" customFormat="false" ht="15" hidden="false" customHeight="false" outlineLevel="0" collapsed="false">
      <c r="A29" s="3" t="str">
        <f aca="false">통합데이터!A30</f>
        <v>매장·판촉</v>
      </c>
      <c r="B29" s="3" t="str">
        <f aca="false">통합데이터!B30</f>
        <v>매장 간판 및 외관 광고물</v>
      </c>
      <c r="C29" s="20" t="n">
        <f aca="false">2017_접점비교!I28</f>
        <v>16</v>
      </c>
      <c r="D29" s="20" t="n">
        <f aca="false">2018_접점비교!I28</f>
        <v>6</v>
      </c>
      <c r="E29" s="20" t="n">
        <f aca="false">2019_접점비교!I28</f>
        <v>9</v>
      </c>
      <c r="F29" s="20" t="n">
        <f aca="false">2017_접점비교!J28</f>
        <v>12</v>
      </c>
      <c r="G29" s="20" t="n">
        <f aca="false">2018_접점비교!J28</f>
        <v>11</v>
      </c>
      <c r="H29" s="20" t="n">
        <f aca="false">2019_접점비교!J28</f>
        <v>12</v>
      </c>
      <c r="I29" s="20" t="n">
        <f aca="false">2017_접점비교!K28</f>
        <v>15</v>
      </c>
      <c r="J29" s="20" t="n">
        <f aca="false">2018_접점비교!K28</f>
        <v>15</v>
      </c>
      <c r="K29" s="20" t="n">
        <f aca="false">2019_접점비교!K28</f>
        <v>14</v>
      </c>
      <c r="L29" s="20" t="n">
        <f aca="false">IF(COUNT(I29:K29)&lt;2,"",MAX(I29:K29)-MIN(I29:K29))</f>
        <v>1</v>
      </c>
      <c r="M29" s="20" t="n">
        <f aca="false">COUNT(통합데이터!I30:K30)</f>
        <v>3</v>
      </c>
      <c r="N29" s="16" t="n">
        <f aca="false">IFERROR(AVERAGE(통합데이터!I30:K30),"")</f>
        <v>12.1666666666667</v>
      </c>
      <c r="O29" s="16" t="n">
        <f aca="false">IF(COUNT(통합데이터!J30:K30)=2,AVERAGE(통합데이터!J30:K30),"")</f>
        <v>10.85</v>
      </c>
      <c r="P29" s="20" t="n">
        <f aca="false">IF(O29="","",RANK(O29,$O$6:$O$39))</f>
        <v>14</v>
      </c>
      <c r="Q29" s="20" t="n">
        <f aca="false">IF(N29="","",RANK(N29,$N$6:$N$39)+COUNTIF($N$5:N28,N29))</f>
        <v>15</v>
      </c>
      <c r="R29" s="20" t="n">
        <f aca="false">IF(O29="","",RANK(O29,$O$6:$O$39)+COUNTIF($O$5:O28,O29))</f>
        <v>14</v>
      </c>
    </row>
    <row r="30" customFormat="false" ht="15" hidden="false" customHeight="false" outlineLevel="0" collapsed="false">
      <c r="A30" s="3" t="str">
        <f aca="false">통합데이터!A31</f>
        <v>매장·판촉</v>
      </c>
      <c r="B30" s="3" t="str">
        <f aca="false">통합데이터!B31</f>
        <v>매장 내 광고(POP)</v>
      </c>
      <c r="C30" s="20" t="n">
        <f aca="false">2017_접점비교!I29</f>
        <v>6</v>
      </c>
      <c r="D30" s="20" t="n">
        <f aca="false">2018_접점비교!I29</f>
        <v>10</v>
      </c>
      <c r="E30" s="20" t="n">
        <f aca="false">2019_접점비교!I29</f>
        <v>10</v>
      </c>
      <c r="F30" s="20" t="n">
        <f aca="false">2017_접점비교!J29</f>
        <v>10</v>
      </c>
      <c r="G30" s="20" t="n">
        <f aca="false">2018_접점비교!J29</f>
        <v>9</v>
      </c>
      <c r="H30" s="20" t="n">
        <f aca="false">2019_접점비교!J29</f>
        <v>10</v>
      </c>
      <c r="I30" s="20" t="n">
        <f aca="false">2017_접점비교!K29</f>
        <v>13</v>
      </c>
      <c r="J30" s="20" t="n">
        <f aca="false">2018_접점비교!K29</f>
        <v>12</v>
      </c>
      <c r="K30" s="20" t="n">
        <f aca="false">2019_접점비교!K29</f>
        <v>12</v>
      </c>
      <c r="L30" s="20" t="n">
        <f aca="false">IF(COUNT(I30:K30)&lt;2,"",MAX(I30:K30)-MIN(I30:K30))</f>
        <v>1</v>
      </c>
      <c r="M30" s="20" t="n">
        <f aca="false">COUNT(통합데이터!I31:K31)</f>
        <v>3</v>
      </c>
      <c r="N30" s="16" t="n">
        <f aca="false">IFERROR(AVERAGE(통합데이터!I31:K31),"")</f>
        <v>14.5333333333333</v>
      </c>
      <c r="O30" s="16" t="n">
        <f aca="false">IF(COUNT(통합데이터!J31:K31)=2,AVERAGE(통합데이터!J31:K31),"")</f>
        <v>13.45</v>
      </c>
      <c r="P30" s="20" t="n">
        <f aca="false">IF(O30="","",RANK(O30,$O$6:$O$39))</f>
        <v>12</v>
      </c>
      <c r="Q30" s="20" t="n">
        <f aca="false">IF(N30="","",RANK(N30,$N$6:$N$39)+COUNTIF($N$5:N29,N30))</f>
        <v>12</v>
      </c>
      <c r="R30" s="20" t="n">
        <f aca="false">IF(O30="","",RANK(O30,$O$6:$O$39)+COUNTIF($O$5:O29,O30))</f>
        <v>12</v>
      </c>
    </row>
    <row r="31" customFormat="false" ht="15" hidden="false" customHeight="false" outlineLevel="0" collapsed="false">
      <c r="A31" s="3" t="str">
        <f aca="false">통합데이터!A32</f>
        <v>매장·판촉</v>
      </c>
      <c r="B31" s="3" t="str">
        <f aca="false">통합데이터!B32</f>
        <v>판매원(점원) 추천</v>
      </c>
      <c r="C31" s="20" t="n">
        <f aca="false">2017_접점비교!I30</f>
        <v>12</v>
      </c>
      <c r="D31" s="20" t="n">
        <f aca="false">2018_접점비교!I30</f>
        <v>7</v>
      </c>
      <c r="E31" s="20" t="n">
        <f aca="false">2019_접점비교!I30</f>
        <v>5</v>
      </c>
      <c r="F31" s="20" t="n">
        <f aca="false">2017_접점비교!J30</f>
        <v>5</v>
      </c>
      <c r="G31" s="20" t="n">
        <f aca="false">2018_접점비교!J30</f>
        <v>5</v>
      </c>
      <c r="H31" s="20" t="n">
        <f aca="false">2019_접점비교!J30</f>
        <v>5</v>
      </c>
      <c r="I31" s="20" t="n">
        <f aca="false">2017_접점비교!K30</f>
        <v>3</v>
      </c>
      <c r="J31" s="20" t="n">
        <f aca="false">2018_접점비교!K30</f>
        <v>3</v>
      </c>
      <c r="K31" s="20" t="n">
        <f aca="false">2019_접점비교!K30</f>
        <v>3</v>
      </c>
      <c r="L31" s="20" t="n">
        <f aca="false">IF(COUNT(I31:K31)&lt;2,"",MAX(I31:K31)-MIN(I31:K31))</f>
        <v>0</v>
      </c>
      <c r="M31" s="20" t="n">
        <f aca="false">COUNT(통합데이터!I32:K32)</f>
        <v>3</v>
      </c>
      <c r="N31" s="16" t="n">
        <f aca="false">IFERROR(AVERAGE(통합데이터!I32:K32),"")</f>
        <v>42.0333333333333</v>
      </c>
      <c r="O31" s="16" t="n">
        <f aca="false">IF(COUNT(통합데이터!J32:K32)=2,AVERAGE(통합데이터!J32:K32),"")</f>
        <v>42.3</v>
      </c>
      <c r="P31" s="20" t="n">
        <f aca="false">IF(O31="","",RANK(O31,$O$6:$O$39))</f>
        <v>3</v>
      </c>
      <c r="Q31" s="20" t="n">
        <f aca="false">IF(N31="","",RANK(N31,$N$6:$N$39)+COUNTIF($N$5:N30,N31))</f>
        <v>3</v>
      </c>
      <c r="R31" s="20" t="n">
        <f aca="false">IF(O31="","",RANK(O31,$O$6:$O$39)+COUNTIF($O$5:O30,O31))</f>
        <v>3</v>
      </c>
    </row>
    <row r="32" customFormat="false" ht="15" hidden="false" customHeight="false" outlineLevel="0" collapsed="false">
      <c r="A32" s="3" t="str">
        <f aca="false">통합데이터!A33</f>
        <v>매장·판촉</v>
      </c>
      <c r="B32" s="3" t="str">
        <f aca="false">통합데이터!B33</f>
        <v>샘플/구매 사은품</v>
      </c>
      <c r="C32" s="20" t="n">
        <f aca="false">2017_접점비교!I31</f>
        <v>4</v>
      </c>
      <c r="D32" s="20" t="n">
        <f aca="false">2018_접점비교!I31</f>
        <v>14</v>
      </c>
      <c r="E32" s="20" t="n">
        <f aca="false">2019_접점비교!I31</f>
        <v>13</v>
      </c>
      <c r="F32" s="20" t="n">
        <f aca="false">2017_접점비교!J31</f>
        <v>6</v>
      </c>
      <c r="G32" s="20" t="n">
        <f aca="false">2018_접점비교!J31</f>
        <v>6</v>
      </c>
      <c r="H32" s="20" t="n">
        <f aca="false">2019_접점비교!J31</f>
        <v>6</v>
      </c>
      <c r="I32" s="20" t="n">
        <f aca="false">2017_접점비교!K31</f>
        <v>5</v>
      </c>
      <c r="J32" s="20" t="n">
        <f aca="false">2018_접점비교!K31</f>
        <v>5</v>
      </c>
      <c r="K32" s="20" t="n">
        <f aca="false">2019_접점비교!K31</f>
        <v>5</v>
      </c>
      <c r="L32" s="20" t="n">
        <f aca="false">IF(COUNT(I32:K32)&lt;2,"",MAX(I32:K32)-MIN(I32:K32))</f>
        <v>0</v>
      </c>
      <c r="M32" s="20" t="n">
        <f aca="false">COUNT(통합데이터!I33:K33)</f>
        <v>3</v>
      </c>
      <c r="N32" s="16" t="n">
        <f aca="false">IFERROR(AVERAGE(통합데이터!I33:K33),"")</f>
        <v>31.4666666666667</v>
      </c>
      <c r="O32" s="16" t="n">
        <f aca="false">IF(COUNT(통합데이터!J33:K33)=2,AVERAGE(통합데이터!J33:K33),"")</f>
        <v>30.2</v>
      </c>
      <c r="P32" s="20" t="n">
        <f aca="false">IF(O32="","",RANK(O32,$O$6:$O$39))</f>
        <v>5</v>
      </c>
      <c r="Q32" s="20" t="n">
        <f aca="false">IF(N32="","",RANK(N32,$N$6:$N$39)+COUNTIF($N$5:N31,N32))</f>
        <v>5</v>
      </c>
      <c r="R32" s="20" t="n">
        <f aca="false">IF(O32="","",RANK(O32,$O$6:$O$39)+COUNTIF($O$5:O31,O32))</f>
        <v>5</v>
      </c>
    </row>
    <row r="33" customFormat="false" ht="15" hidden="false" customHeight="false" outlineLevel="0" collapsed="false">
      <c r="A33" s="3" t="str">
        <f aca="false">통합데이터!A34</f>
        <v>매장·판촉</v>
      </c>
      <c r="B33" s="3" t="str">
        <f aca="false">통합데이터!B34</f>
        <v>쿠폰/프로모션 등 행사 및 이벤트</v>
      </c>
      <c r="C33" s="20" t="n">
        <f aca="false">2017_접점비교!I32</f>
        <v>5</v>
      </c>
      <c r="D33" s="20" t="n">
        <f aca="false">2018_접점비교!I32</f>
        <v>16</v>
      </c>
      <c r="E33" s="20" t="n">
        <f aca="false">2019_접점비교!I32</f>
        <v>15</v>
      </c>
      <c r="F33" s="20" t="n">
        <f aca="false">2017_접점비교!J32</f>
        <v>8</v>
      </c>
      <c r="G33" s="20" t="n">
        <f aca="false">2018_접점비교!J32</f>
        <v>7</v>
      </c>
      <c r="H33" s="20" t="n">
        <f aca="false">2019_접점비교!J32</f>
        <v>7</v>
      </c>
      <c r="I33" s="20" t="n">
        <f aca="false">2017_접점비교!K32</f>
        <v>6</v>
      </c>
      <c r="J33" s="20" t="n">
        <f aca="false">2018_접점비교!K32</f>
        <v>6</v>
      </c>
      <c r="K33" s="20" t="n">
        <f aca="false">2019_접점비교!K32</f>
        <v>6</v>
      </c>
      <c r="L33" s="20" t="n">
        <f aca="false">IF(COUNT(I33:K33)&lt;2,"",MAX(I33:K33)-MIN(I33:K33))</f>
        <v>0</v>
      </c>
      <c r="M33" s="20" t="n">
        <f aca="false">COUNT(통합데이터!I34:K34)</f>
        <v>3</v>
      </c>
      <c r="N33" s="16" t="n">
        <f aca="false">IFERROR(AVERAGE(통합데이터!I34:K34),"")</f>
        <v>28.9666666666667</v>
      </c>
      <c r="O33" s="16" t="n">
        <f aca="false">IF(COUNT(통합데이터!J34:K34)=2,AVERAGE(통합데이터!J34:K34),"")</f>
        <v>28.8</v>
      </c>
      <c r="P33" s="20" t="n">
        <f aca="false">IF(O33="","",RANK(O33,$O$6:$O$39))</f>
        <v>6</v>
      </c>
      <c r="Q33" s="20" t="n">
        <f aca="false">IF(N33="","",RANK(N33,$N$6:$N$39)+COUNTIF($N$5:N32,N33))</f>
        <v>6</v>
      </c>
      <c r="R33" s="20" t="n">
        <f aca="false">IF(O33="","",RANK(O33,$O$6:$O$39)+COUNTIF($O$5:O32,O33))</f>
        <v>6</v>
      </c>
    </row>
    <row r="34" customFormat="false" ht="15" hidden="false" customHeight="false" outlineLevel="0" collapsed="false">
      <c r="A34" s="3" t="str">
        <f aca="false">통합데이터!A35</f>
        <v>매장·판촉</v>
      </c>
      <c r="B34" s="3" t="str">
        <f aca="false">통합데이터!B35</f>
        <v>매장 내 진열제품 및 제품정보</v>
      </c>
      <c r="C34" s="20" t="n">
        <f aca="false">2017_접점비교!I33</f>
        <v>13</v>
      </c>
      <c r="D34" s="20" t="n">
        <f aca="false">2018_접점비교!I33</f>
        <v>5</v>
      </c>
      <c r="E34" s="20" t="n">
        <f aca="false">2019_접점비교!I33</f>
        <v>3</v>
      </c>
      <c r="F34" s="20" t="n">
        <f aca="false">2017_접점비교!J33</f>
        <v>3</v>
      </c>
      <c r="G34" s="20" t="n">
        <f aca="false">2018_접점비교!J33</f>
        <v>4</v>
      </c>
      <c r="H34" s="20" t="n">
        <f aca="false">2019_접점비교!J33</f>
        <v>3</v>
      </c>
      <c r="I34" s="20" t="n">
        <f aca="false">2017_접점비교!K33</f>
        <v>4</v>
      </c>
      <c r="J34" s="20" t="n">
        <f aca="false">2018_접점비교!K33</f>
        <v>4</v>
      </c>
      <c r="K34" s="20" t="n">
        <f aca="false">2019_접점비교!K33</f>
        <v>4</v>
      </c>
      <c r="L34" s="20" t="n">
        <f aca="false">IF(COUNT(I34:K34)&lt;2,"",MAX(I34:K34)-MIN(I34:K34))</f>
        <v>0</v>
      </c>
      <c r="M34" s="20" t="n">
        <f aca="false">COUNT(통합데이터!I35:K35)</f>
        <v>3</v>
      </c>
      <c r="N34" s="16" t="n">
        <f aca="false">IFERROR(AVERAGE(통합데이터!I35:K35),"")</f>
        <v>35</v>
      </c>
      <c r="O34" s="16" t="n">
        <f aca="false">IF(COUNT(통합데이터!J35:K35)=2,AVERAGE(통합데이터!J35:K35),"")</f>
        <v>33.75</v>
      </c>
      <c r="P34" s="20" t="n">
        <f aca="false">IF(O34="","",RANK(O34,$O$6:$O$39))</f>
        <v>4</v>
      </c>
      <c r="Q34" s="20" t="n">
        <f aca="false">IF(N34="","",RANK(N34,$N$6:$N$39)+COUNTIF($N$5:N33,N34))</f>
        <v>4</v>
      </c>
      <c r="R34" s="20" t="n">
        <f aca="false">IF(O34="","",RANK(O34,$O$6:$O$39)+COUNTIF($O$5:O33,O34))</f>
        <v>4</v>
      </c>
    </row>
    <row r="35" customFormat="false" ht="15" hidden="false" customHeight="false" outlineLevel="0" collapsed="false">
      <c r="A35" s="3" t="str">
        <f aca="false">통합데이터!A36</f>
        <v>구전</v>
      </c>
      <c r="B35" s="3" t="str">
        <f aca="false">통합데이터!B36</f>
        <v>주변사람(친구/가족/동료)의 추천</v>
      </c>
      <c r="C35" s="20" t="n">
        <f aca="false">2017_접점비교!I34</f>
        <v>3</v>
      </c>
      <c r="D35" s="20" t="n">
        <f aca="false">2018_접점비교!I34</f>
        <v>2</v>
      </c>
      <c r="E35" s="20" t="n">
        <f aca="false">2019_접점비교!I34</f>
        <v>2</v>
      </c>
      <c r="F35" s="20" t="n">
        <f aca="false">2017_접점비교!J34</f>
        <v>2</v>
      </c>
      <c r="G35" s="20" t="n">
        <f aca="false">2018_접점비교!J34</f>
        <v>2</v>
      </c>
      <c r="H35" s="20" t="n">
        <f aca="false">2019_접점비교!J34</f>
        <v>2</v>
      </c>
      <c r="I35" s="20" t="n">
        <f aca="false">2017_접점비교!K34</f>
        <v>1</v>
      </c>
      <c r="J35" s="20" t="n">
        <f aca="false">2018_접점비교!K34</f>
        <v>1</v>
      </c>
      <c r="K35" s="20" t="n">
        <f aca="false">2019_접점비교!K34</f>
        <v>1</v>
      </c>
      <c r="L35" s="20" t="n">
        <f aca="false">IF(COUNT(I35:K35)&lt;2,"",MAX(I35:K35)-MIN(I35:K35))</f>
        <v>0</v>
      </c>
      <c r="M35" s="20" t="n">
        <f aca="false">COUNT(통합데이터!I36:K36)</f>
        <v>3</v>
      </c>
      <c r="N35" s="16" t="n">
        <f aca="false">IFERROR(AVERAGE(통합데이터!I36:K36),"")</f>
        <v>63.5333333333333</v>
      </c>
      <c r="O35" s="16" t="n">
        <f aca="false">IF(COUNT(통합데이터!J36:K36)=2,AVERAGE(통합데이터!J36:K36),"")</f>
        <v>64.3</v>
      </c>
      <c r="P35" s="20" t="n">
        <f aca="false">IF(O35="","",RANK(O35,$O$6:$O$39))</f>
        <v>1</v>
      </c>
      <c r="Q35" s="20" t="n">
        <f aca="false">IF(N35="","",RANK(N35,$N$6:$N$39)+COUNTIF($N$5:N34,N35))</f>
        <v>1</v>
      </c>
      <c r="R35" s="20" t="n">
        <f aca="false">IF(O35="","",RANK(O35,$O$6:$O$39)+COUNTIF($O$5:O34,O35))</f>
        <v>1</v>
      </c>
    </row>
    <row r="36" customFormat="false" ht="15" hidden="false" customHeight="false" outlineLevel="0" collapsed="false">
      <c r="A36" s="3" t="str">
        <f aca="false">통합데이터!A37</f>
        <v>기업활동·후원</v>
      </c>
      <c r="B36" s="3" t="str">
        <f aca="false">통합데이터!B37</f>
        <v>회사의 사회공헌 및 기여활동</v>
      </c>
      <c r="C36" s="20" t="n">
        <f aca="false">2017_접점비교!I35</f>
        <v>2</v>
      </c>
      <c r="D36" s="20" t="n">
        <f aca="false">2018_접점비교!I35</f>
        <v>29</v>
      </c>
      <c r="E36" s="20" t="n">
        <f aca="false">2019_접점비교!I35</f>
        <v>30</v>
      </c>
      <c r="F36" s="20" t="n">
        <f aca="false">2017_접점비교!J35</f>
        <v>21</v>
      </c>
      <c r="G36" s="20" t="n">
        <f aca="false">2018_접점비교!J35</f>
        <v>21</v>
      </c>
      <c r="H36" s="20" t="n">
        <f aca="false">2019_접점비교!J35</f>
        <v>21</v>
      </c>
      <c r="I36" s="20" t="n">
        <f aca="false">2017_접점비교!K35</f>
        <v>22</v>
      </c>
      <c r="J36" s="20" t="n">
        <f aca="false">2018_접점비교!K35</f>
        <v>21</v>
      </c>
      <c r="K36" s="20" t="n">
        <f aca="false">2019_접점비교!K35</f>
        <v>28</v>
      </c>
      <c r="L36" s="20" t="n">
        <f aca="false">IF(COUNT(I36:K36)&lt;2,"",MAX(I36:K36)-MIN(I36:K36))</f>
        <v>7</v>
      </c>
      <c r="M36" s="20" t="n">
        <f aca="false">COUNT(통합데이터!I37:K37)</f>
        <v>3</v>
      </c>
      <c r="N36" s="16" t="n">
        <f aca="false">IFERROR(AVERAGE(통합데이터!I37:K37),"")</f>
        <v>6.4</v>
      </c>
      <c r="O36" s="16" t="n">
        <f aca="false">IF(COUNT(통합데이터!J37:K37)=2,AVERAGE(통합데이터!J37:K37),"")</f>
        <v>5.05</v>
      </c>
      <c r="P36" s="20" t="n">
        <f aca="false">IF(O36="","",RANK(O36,$O$6:$O$39))</f>
        <v>26</v>
      </c>
      <c r="Q36" s="20" t="n">
        <f aca="false">IF(N36="","",RANK(N36,$N$6:$N$39)+COUNTIF($N$5:N35,N36))</f>
        <v>23</v>
      </c>
      <c r="R36" s="20" t="n">
        <f aca="false">IF(O36="","",RANK(O36,$O$6:$O$39)+COUNTIF($O$5:O35,O36))</f>
        <v>27</v>
      </c>
    </row>
    <row r="37" customFormat="false" ht="15" hidden="false" customHeight="false" outlineLevel="0" collapsed="false">
      <c r="A37" s="3" t="str">
        <f aca="false">통합데이터!A38</f>
        <v>기업활동·후원</v>
      </c>
      <c r="B37" s="3" t="str">
        <f aca="false">통합데이터!B38</f>
        <v>게임 또는 스포츠 팀 후원</v>
      </c>
      <c r="C37" s="20" t="n">
        <f aca="false">2017_접점비교!I36</f>
        <v>28</v>
      </c>
      <c r="D37" s="20" t="str">
        <f aca="false">2018_접점비교!I36</f>
        <v/>
      </c>
      <c r="E37" s="20" t="str">
        <f aca="false">2019_접점비교!I36</f>
        <v/>
      </c>
      <c r="F37" s="20" t="n">
        <f aca="false">2017_접점비교!J36</f>
        <v>28</v>
      </c>
      <c r="G37" s="20" t="n">
        <f aca="false">2018_접점비교!J36</f>
        <v>26</v>
      </c>
      <c r="H37" s="20" t="str">
        <f aca="false">2019_접점비교!J36</f>
        <v/>
      </c>
      <c r="I37" s="20" t="n">
        <f aca="false">2017_접점비교!K36</f>
        <v>31</v>
      </c>
      <c r="J37" s="20" t="n">
        <f aca="false">2018_접점비교!K36</f>
        <v>31</v>
      </c>
      <c r="K37" s="20" t="str">
        <f aca="false">2019_접점비교!K36</f>
        <v/>
      </c>
      <c r="L37" s="20" t="n">
        <f aca="false">IF(COUNT(I37:K37)&lt;2,"",MAX(I37:K37)-MIN(I37:K37))</f>
        <v>0</v>
      </c>
      <c r="M37" s="20" t="n">
        <f aca="false">COUNT(통합데이터!I38:K38)</f>
        <v>2</v>
      </c>
      <c r="N37" s="16" t="n">
        <f aca="false">IFERROR(AVERAGE(통합데이터!I38:K38),"")</f>
        <v>4.85</v>
      </c>
      <c r="O37" s="16" t="str">
        <f aca="false">IF(COUNT(통합데이터!J38:K38)=2,AVERAGE(통합데이터!J38:K38),"")</f>
        <v/>
      </c>
      <c r="P37" s="20" t="str">
        <f aca="false">IF(O37="","",RANK(O37,$O$6:$O$39))</f>
        <v/>
      </c>
      <c r="Q37" s="20" t="n">
        <f aca="false">IF(N37="","",RANK(N37,$N$6:$N$39)+COUNTIF($N$5:N36,N37))</f>
        <v>29</v>
      </c>
      <c r="R37" s="20" t="str">
        <f aca="false">IF(O37="","",RANK(O37,$O$6:$O$39)+COUNTIF($O$5:O36,O37))</f>
        <v/>
      </c>
    </row>
    <row r="38" customFormat="false" ht="15" hidden="false" customHeight="false" outlineLevel="0" collapsed="false">
      <c r="A38" s="3" t="str">
        <f aca="false">통합데이터!A39</f>
        <v>기업활동·후원</v>
      </c>
      <c r="B38" s="3" t="str">
        <f aca="false">통합데이터!B39</f>
        <v>TV프로그램/영화 제작 투자</v>
      </c>
      <c r="C38" s="20" t="n">
        <f aca="false">2017_접점비교!I37</f>
        <v>33</v>
      </c>
      <c r="D38" s="20" t="n">
        <f aca="false">2018_접점비교!I37</f>
        <v>32</v>
      </c>
      <c r="E38" s="20" t="n">
        <f aca="false">2019_접점비교!I37</f>
        <v>31</v>
      </c>
      <c r="F38" s="20" t="n">
        <f aca="false">2017_접점비교!J37</f>
        <v>27</v>
      </c>
      <c r="G38" s="20" t="n">
        <f aca="false">2018_접점비교!J37</f>
        <v>24</v>
      </c>
      <c r="H38" s="20" t="n">
        <f aca="false">2019_접점비교!J37</f>
        <v>26</v>
      </c>
      <c r="I38" s="20" t="n">
        <f aca="false">2017_접점비교!K37</f>
        <v>27</v>
      </c>
      <c r="J38" s="20" t="n">
        <f aca="false">2018_접점비교!K37</f>
        <v>32</v>
      </c>
      <c r="K38" s="20" t="n">
        <f aca="false">2019_접점비교!K37</f>
        <v>32</v>
      </c>
      <c r="L38" s="20" t="n">
        <f aca="false">IF(COUNT(I38:K38)&lt;2,"",MAX(I38:K38)-MIN(I38:K38))</f>
        <v>5</v>
      </c>
      <c r="M38" s="20" t="n">
        <f aca="false">COUNT(통합데이터!I39:K39)</f>
        <v>3</v>
      </c>
      <c r="N38" s="16" t="n">
        <f aca="false">IFERROR(AVERAGE(통합데이터!I39:K39),"")</f>
        <v>4.36666666666667</v>
      </c>
      <c r="O38" s="16" t="n">
        <f aca="false">IF(COUNT(통합데이터!J39:K39)=2,AVERAGE(통합데이터!J39:K39),"")</f>
        <v>3.05</v>
      </c>
      <c r="P38" s="20" t="n">
        <f aca="false">IF(O38="","",RANK(O38,$O$6:$O$39))</f>
        <v>32</v>
      </c>
      <c r="Q38" s="20" t="n">
        <f aca="false">IF(N38="","",RANK(N38,$N$6:$N$39)+COUNTIF($N$5:N37,N38))</f>
        <v>31</v>
      </c>
      <c r="R38" s="20" t="n">
        <f aca="false">IF(O38="","",RANK(O38,$O$6:$O$39)+COUNTIF($O$5:O37,O38))</f>
        <v>32</v>
      </c>
    </row>
    <row r="39" customFormat="false" ht="15" hidden="false" customHeight="false" outlineLevel="0" collapsed="false">
      <c r="A39" s="3" t="str">
        <f aca="false">통합데이터!A40</f>
        <v>기업활동·후원</v>
      </c>
      <c r="B39" s="3" t="str">
        <f aca="false">통합데이터!B40</f>
        <v>신제품발표회/무역박람회/전시회</v>
      </c>
      <c r="C39" s="20" t="n">
        <f aca="false">2017_접점비교!I38</f>
        <v>30</v>
      </c>
      <c r="D39" s="20" t="n">
        <f aca="false">2018_접점비교!I38</f>
        <v>33</v>
      </c>
      <c r="E39" s="20" t="n">
        <f aca="false">2019_접점비교!I38</f>
        <v>33</v>
      </c>
      <c r="F39" s="20" t="n">
        <f aca="false">2017_접점비교!J38</f>
        <v>25</v>
      </c>
      <c r="G39" s="20" t="n">
        <f aca="false">2018_접점비교!J38</f>
        <v>27</v>
      </c>
      <c r="H39" s="20" t="n">
        <f aca="false">2019_접점비교!J38</f>
        <v>24</v>
      </c>
      <c r="I39" s="20" t="n">
        <f aca="false">2017_접점비교!K38</f>
        <v>32</v>
      </c>
      <c r="J39" s="20" t="n">
        <f aca="false">2018_접점비교!K38</f>
        <v>30</v>
      </c>
      <c r="K39" s="20" t="n">
        <f aca="false">2019_접점비교!K38</f>
        <v>31</v>
      </c>
      <c r="L39" s="20" t="n">
        <f aca="false">IF(COUNT(I39:K39)&lt;2,"",MAX(I39:K39)-MIN(I39:K39))</f>
        <v>2</v>
      </c>
      <c r="M39" s="20" t="n">
        <f aca="false">COUNT(통합데이터!I40:K40)</f>
        <v>3</v>
      </c>
      <c r="N39" s="16" t="n">
        <f aca="false">IFERROR(AVERAGE(통합데이터!I40:K40),"")</f>
        <v>4.13333333333333</v>
      </c>
      <c r="O39" s="16" t="n">
        <f aca="false">IF(COUNT(통합데이터!J40:K40)=2,AVERAGE(통합데이터!J40:K40),"")</f>
        <v>3.35</v>
      </c>
      <c r="P39" s="20" t="n">
        <f aca="false">IF(O39="","",RANK(O39,$O$6:$O$39))</f>
        <v>30</v>
      </c>
      <c r="Q39" s="20" t="n">
        <f aca="false">IF(N39="","",RANK(N39,$N$6:$N$39)+COUNTIF($N$5:N38,N39))</f>
        <v>33</v>
      </c>
      <c r="R39" s="20" t="n">
        <f aca="false">IF(O39="","",RANK(O39,$O$6:$O$39)+COUNTIF($O$5:O38,O39))</f>
        <v>30</v>
      </c>
    </row>
    <row r="40" customFormat="false" ht="15" hidden="false" customHeight="false" outlineLevel="0" collapsed="false">
      <c r="A40" s="6" t="s">
        <v>117</v>
      </c>
    </row>
    <row r="42" customFormat="false" ht="17.15" hidden="false" customHeight="false" outlineLevel="0" collapsed="false">
      <c r="A42" s="24" t="s">
        <v>118</v>
      </c>
    </row>
    <row r="43" customFormat="false" ht="15" hidden="false" customHeight="false" outlineLevel="0" collapsed="false">
      <c r="A43" s="7" t="s">
        <v>103</v>
      </c>
      <c r="B43" s="7" t="s">
        <v>104</v>
      </c>
      <c r="C43" s="18" t="s">
        <v>32</v>
      </c>
      <c r="D43" s="18" t="s">
        <v>33</v>
      </c>
      <c r="E43" s="18" t="s">
        <v>34</v>
      </c>
    </row>
    <row r="44" customFormat="false" ht="15" hidden="false" customHeight="false" outlineLevel="0" collapsed="false">
      <c r="A44" s="20" t="n">
        <v>1</v>
      </c>
      <c r="B44" s="3" t="str">
        <f aca="false">INDEX(2019_접점비교!$B$5:$B$38,MATCH(A44,2019_접점비교!$O$5:$O$38,0))</f>
        <v>주변사람(친구/가족/동료)의 추천</v>
      </c>
      <c r="C44" s="16" t="n">
        <f aca="false">INDEX(통합데이터!$I$7:$I$40,MATCH($B44,통합데이터!$B$7:$B$40,0))</f>
        <v>62</v>
      </c>
      <c r="D44" s="16" t="n">
        <f aca="false">INDEX(통합데이터!$J$7:$J$40,MATCH($B44,통합데이터!$B$7:$B$40,0))</f>
        <v>60.4</v>
      </c>
      <c r="E44" s="16" t="n">
        <f aca="false">INDEX(통합데이터!$K$7:$K$40,MATCH($B44,통합데이터!$B$7:$B$40,0))</f>
        <v>68.2</v>
      </c>
    </row>
    <row r="45" customFormat="false" ht="15" hidden="false" customHeight="false" outlineLevel="0" collapsed="false">
      <c r="A45" s="20" t="n">
        <v>2</v>
      </c>
      <c r="B45" s="3" t="str">
        <f aca="false">INDEX(2019_접점비교!$B$5:$B$38,MATCH(A45,2019_접점비교!$O$5:$O$38,0))</f>
        <v>TV 광고</v>
      </c>
      <c r="C45" s="16" t="n">
        <f aca="false">INDEX(통합데이터!$I$7:$I$40,MATCH($B45,통합데이터!$B$7:$B$40,0))</f>
        <v>51.6</v>
      </c>
      <c r="D45" s="16" t="n">
        <f aca="false">INDEX(통합데이터!$J$7:$J$40,MATCH($B45,통합데이터!$B$7:$B$40,0))</f>
        <v>43.4</v>
      </c>
      <c r="E45" s="16" t="n">
        <f aca="false">INDEX(통합데이터!$K$7:$K$40,MATCH($B45,통합데이터!$B$7:$B$40,0))</f>
        <v>47.1</v>
      </c>
    </row>
    <row r="46" customFormat="false" ht="15" hidden="false" customHeight="false" outlineLevel="0" collapsed="false">
      <c r="A46" s="20" t="n">
        <v>3</v>
      </c>
      <c r="B46" s="3" t="str">
        <f aca="false">INDEX(2019_접점비교!$B$5:$B$38,MATCH(A46,2019_접점비교!$O$5:$O$38,0))</f>
        <v>판매원(점원) 추천</v>
      </c>
      <c r="C46" s="16" t="n">
        <f aca="false">INDEX(통합데이터!$I$7:$I$40,MATCH($B46,통합데이터!$B$7:$B$40,0))</f>
        <v>41.5</v>
      </c>
      <c r="D46" s="16" t="n">
        <f aca="false">INDEX(통합데이터!$J$7:$J$40,MATCH($B46,통합데이터!$B$7:$B$40,0))</f>
        <v>41.2</v>
      </c>
      <c r="E46" s="16" t="n">
        <f aca="false">INDEX(통합데이터!$K$7:$K$40,MATCH($B46,통합데이터!$B$7:$B$40,0))</f>
        <v>43.4</v>
      </c>
    </row>
    <row r="47" customFormat="false" ht="15" hidden="false" customHeight="false" outlineLevel="0" collapsed="false">
      <c r="A47" s="20" t="n">
        <v>4</v>
      </c>
      <c r="B47" s="3" t="str">
        <f aca="false">INDEX(2019_접점비교!$B$5:$B$38,MATCH(A47,2019_접점비교!$O$5:$O$38,0))</f>
        <v>매장 내 진열제품 및 제품정보</v>
      </c>
      <c r="C47" s="16" t="n">
        <f aca="false">INDEX(통합데이터!$I$7:$I$40,MATCH($B47,통합데이터!$B$7:$B$40,0))</f>
        <v>37.5</v>
      </c>
      <c r="D47" s="16" t="n">
        <f aca="false">INDEX(통합데이터!$J$7:$J$40,MATCH($B47,통합데이터!$B$7:$B$40,0))</f>
        <v>33.3</v>
      </c>
      <c r="E47" s="16" t="n">
        <f aca="false">INDEX(통합데이터!$K$7:$K$40,MATCH($B47,통합데이터!$B$7:$B$40,0))</f>
        <v>34.2</v>
      </c>
    </row>
    <row r="48" customFormat="false" ht="15" hidden="false" customHeight="false" outlineLevel="0" collapsed="false">
      <c r="A48" s="20" t="n">
        <v>5</v>
      </c>
      <c r="B48" s="3" t="str">
        <f aca="false">INDEX(2019_접점비교!$B$5:$B$38,MATCH(A48,2019_접점비교!$O$5:$O$38,0))</f>
        <v>샘플/구매 사은품</v>
      </c>
      <c r="C48" s="16" t="n">
        <f aca="false">INDEX(통합데이터!$I$7:$I$40,MATCH($B48,통합데이터!$B$7:$B$40,0))</f>
        <v>34</v>
      </c>
      <c r="D48" s="16" t="n">
        <f aca="false">INDEX(통합데이터!$J$7:$J$40,MATCH($B48,통합데이터!$B$7:$B$40,0))</f>
        <v>29.1</v>
      </c>
      <c r="E48" s="16" t="n">
        <f aca="false">INDEX(통합데이터!$K$7:$K$40,MATCH($B48,통합데이터!$B$7:$B$40,0))</f>
        <v>31.3</v>
      </c>
    </row>
    <row r="49" customFormat="false" ht="15" hidden="false" customHeight="false" outlineLevel="0" collapsed="false">
      <c r="A49" s="20" t="n">
        <v>6</v>
      </c>
      <c r="B49" s="3" t="str">
        <f aca="false">INDEX(2019_접점비교!$B$5:$B$38,MATCH(A49,2019_접점비교!$O$5:$O$38,0))</f>
        <v>쿠폰/프로모션 등 행사 및 이벤트</v>
      </c>
      <c r="C49" s="16" t="n">
        <f aca="false">INDEX(통합데이터!$I$7:$I$40,MATCH($B49,통합데이터!$B$7:$B$40,0))</f>
        <v>29.3</v>
      </c>
      <c r="D49" s="16" t="n">
        <f aca="false">INDEX(통합데이터!$J$7:$J$40,MATCH($B49,통합데이터!$B$7:$B$40,0))</f>
        <v>26.4</v>
      </c>
      <c r="E49" s="16" t="n">
        <f aca="false">INDEX(통합데이터!$K$7:$K$40,MATCH($B49,통합데이터!$B$7:$B$40,0))</f>
        <v>31.2</v>
      </c>
    </row>
    <row r="50" customFormat="false" ht="15" hidden="false" customHeight="false" outlineLevel="0" collapsed="false">
      <c r="A50" s="20" t="n">
        <v>7</v>
      </c>
      <c r="B50" s="3" t="str">
        <f aca="false">INDEX(2019_접점비교!$B$5:$B$38,MATCH(A50,2019_접점비교!$O$5:$O$38,0))</f>
        <v>SNS, 블로그 사용자 후기 및 전문가 리뷰</v>
      </c>
      <c r="C50" s="16" t="n">
        <f aca="false">INDEX(통합데이터!$I$7:$I$40,MATCH($B50,통합데이터!$B$7:$B$40,0))</f>
        <v>23.4</v>
      </c>
      <c r="D50" s="16" t="n">
        <f aca="false">INDEX(통합데이터!$J$7:$J$40,MATCH($B50,통합데이터!$B$7:$B$40,0))</f>
        <v>21</v>
      </c>
      <c r="E50" s="16" t="n">
        <f aca="false">INDEX(통합데이터!$K$7:$K$40,MATCH($B50,통합데이터!$B$7:$B$40,0))</f>
        <v>24.6</v>
      </c>
    </row>
    <row r="51" customFormat="false" ht="15" hidden="false" customHeight="false" outlineLevel="0" collapsed="false">
      <c r="A51" s="20" t="n">
        <v>8</v>
      </c>
      <c r="B51" s="3" t="str">
        <f aca="false">INDEX(2019_접점비교!$B$5:$B$38,MATCH(A51,2019_접점비교!$O$5:$O$38,0))</f>
        <v>가격비교사이트 및 제품 관련 전문사이트</v>
      </c>
      <c r="C51" s="16" t="n">
        <f aca="false">INDEX(통합데이터!$I$7:$I$40,MATCH($B51,통합데이터!$B$7:$B$40,0))</f>
        <v>19.4</v>
      </c>
      <c r="D51" s="16" t="n">
        <f aca="false">INDEX(통합데이터!$J$7:$J$40,MATCH($B51,통합데이터!$B$7:$B$40,0))</f>
        <v>19.3</v>
      </c>
      <c r="E51" s="16" t="n">
        <f aca="false">INDEX(통합데이터!$K$7:$K$40,MATCH($B51,통합데이터!$B$7:$B$40,0))</f>
        <v>20.2</v>
      </c>
    </row>
    <row r="52" customFormat="false" ht="15" hidden="false" customHeight="false" outlineLevel="0" collapsed="false">
      <c r="A52" s="20" t="n">
        <v>9</v>
      </c>
      <c r="B52" s="3" t="str">
        <f aca="false">INDEX(2019_접점비교!$B$5:$B$38,MATCH(A52,2019_접점비교!$O$5:$O$38,0))</f>
        <v>제품 카달로그/전단지</v>
      </c>
      <c r="C52" s="16" t="n">
        <f aca="false">INDEX(통합데이터!$I$7:$I$40,MATCH($B52,통합데이터!$B$7:$B$40,0))</f>
        <v>19.3</v>
      </c>
      <c r="D52" s="16" t="n">
        <f aca="false">INDEX(통합데이터!$J$7:$J$40,MATCH($B52,통합데이터!$B$7:$B$40,0))</f>
        <v>20.3</v>
      </c>
      <c r="E52" s="16" t="n">
        <f aca="false">INDEX(통합데이터!$K$7:$K$40,MATCH($B52,통합데이터!$B$7:$B$40,0))</f>
        <v>19.6</v>
      </c>
    </row>
    <row r="53" customFormat="false" ht="15" hidden="false" customHeight="false" outlineLevel="0" collapsed="false">
      <c r="A53" s="20" t="n">
        <v>10</v>
      </c>
      <c r="B53" s="3" t="str">
        <f aca="false">INDEX(2019_접점비교!$B$5:$B$38,MATCH(A53,2019_접점비교!$O$5:$O$38,0))</f>
        <v>포털 카페 및 커뮤니티(네이버, 다음 등)</v>
      </c>
      <c r="C53" s="16" t="n">
        <f aca="false">INDEX(통합데이터!$I$7:$I$40,MATCH($B53,통합데이터!$B$7:$B$40,0))</f>
        <v>22.9</v>
      </c>
      <c r="D53" s="16" t="n">
        <f aca="false">INDEX(통합데이터!$J$7:$J$40,MATCH($B53,통합데이터!$B$7:$B$40,0))</f>
        <v>15.4</v>
      </c>
      <c r="E53" s="16" t="n">
        <f aca="false">INDEX(통합데이터!$K$7:$K$40,MATCH($B53,통합데이터!$B$7:$B$40,0))</f>
        <v>17.9</v>
      </c>
    </row>
    <row r="56" customFormat="false" ht="17.15" hidden="false" customHeight="false" outlineLevel="0" collapsed="false">
      <c r="A56" s="24" t="s">
        <v>119</v>
      </c>
    </row>
    <row r="57" customFormat="false" ht="15" hidden="false" customHeight="false" outlineLevel="0" collapsed="false">
      <c r="A57" s="7" t="s">
        <v>103</v>
      </c>
      <c r="B57" s="7" t="s">
        <v>104</v>
      </c>
      <c r="C57" s="7" t="s">
        <v>120</v>
      </c>
      <c r="D57" s="7" t="s">
        <v>121</v>
      </c>
    </row>
    <row r="58" customFormat="false" ht="15" hidden="false" customHeight="false" outlineLevel="0" collapsed="false">
      <c r="A58" s="20" t="n">
        <v>1</v>
      </c>
      <c r="B58" s="3" t="str">
        <f aca="false">INDEX($B$6:$B$39,MATCH(A58,$Q$6:$Q$39,0))</f>
        <v>주변사람(친구/가족/동료)의 추천</v>
      </c>
      <c r="C58" s="16" t="n">
        <f aca="false">INDEX($N$6:$N$39,MATCH(A58,$Q$6:$Q$39,0))</f>
        <v>63.5333333333333</v>
      </c>
      <c r="D58" s="20" t="n">
        <f aca="false">INDEX($M$6:$M$39,MATCH(A58,$Q$6:$Q$39,0))</f>
        <v>3</v>
      </c>
    </row>
    <row r="59" customFormat="false" ht="15" hidden="false" customHeight="false" outlineLevel="0" collapsed="false">
      <c r="A59" s="20" t="n">
        <v>2</v>
      </c>
      <c r="B59" s="3" t="str">
        <f aca="false">INDEX($B$6:$B$39,MATCH(A59,$Q$6:$Q$39,0))</f>
        <v>TV 광고</v>
      </c>
      <c r="C59" s="16" t="n">
        <f aca="false">INDEX($N$6:$N$39,MATCH(A59,$Q$6:$Q$39,0))</f>
        <v>47.3666666666667</v>
      </c>
      <c r="D59" s="20" t="n">
        <f aca="false">INDEX($M$6:$M$39,MATCH(A59,$Q$6:$Q$39,0))</f>
        <v>3</v>
      </c>
    </row>
    <row r="60" customFormat="false" ht="15" hidden="false" customHeight="false" outlineLevel="0" collapsed="false">
      <c r="A60" s="20" t="n">
        <v>3</v>
      </c>
      <c r="B60" s="3" t="str">
        <f aca="false">INDEX($B$6:$B$39,MATCH(A60,$Q$6:$Q$39,0))</f>
        <v>판매원(점원) 추천</v>
      </c>
      <c r="C60" s="16" t="n">
        <f aca="false">INDEX($N$6:$N$39,MATCH(A60,$Q$6:$Q$39,0))</f>
        <v>42.0333333333333</v>
      </c>
      <c r="D60" s="20" t="n">
        <f aca="false">INDEX($M$6:$M$39,MATCH(A60,$Q$6:$Q$39,0))</f>
        <v>3</v>
      </c>
    </row>
    <row r="61" customFormat="false" ht="15" hidden="false" customHeight="false" outlineLevel="0" collapsed="false">
      <c r="A61" s="20" t="n">
        <v>4</v>
      </c>
      <c r="B61" s="3" t="str">
        <f aca="false">INDEX($B$6:$B$39,MATCH(A61,$Q$6:$Q$39,0))</f>
        <v>매장 내 진열제품 및 제품정보</v>
      </c>
      <c r="C61" s="16" t="n">
        <f aca="false">INDEX($N$6:$N$39,MATCH(A61,$Q$6:$Q$39,0))</f>
        <v>35</v>
      </c>
      <c r="D61" s="20" t="n">
        <f aca="false">INDEX($M$6:$M$39,MATCH(A61,$Q$6:$Q$39,0))</f>
        <v>3</v>
      </c>
    </row>
    <row r="62" customFormat="false" ht="15" hidden="false" customHeight="false" outlineLevel="0" collapsed="false">
      <c r="A62" s="20" t="n">
        <v>5</v>
      </c>
      <c r="B62" s="3" t="str">
        <f aca="false">INDEX($B$6:$B$39,MATCH(A62,$Q$6:$Q$39,0))</f>
        <v>샘플/구매 사은품</v>
      </c>
      <c r="C62" s="16" t="n">
        <f aca="false">INDEX($N$6:$N$39,MATCH(A62,$Q$6:$Q$39,0))</f>
        <v>31.4666666666667</v>
      </c>
      <c r="D62" s="20" t="n">
        <f aca="false">INDEX($M$6:$M$39,MATCH(A62,$Q$6:$Q$39,0))</f>
        <v>3</v>
      </c>
    </row>
    <row r="63" customFormat="false" ht="15" hidden="false" customHeight="false" outlineLevel="0" collapsed="false">
      <c r="A63" s="20" t="n">
        <v>6</v>
      </c>
      <c r="B63" s="3" t="str">
        <f aca="false">INDEX($B$6:$B$39,MATCH(A63,$Q$6:$Q$39,0))</f>
        <v>쿠폰/프로모션 등 행사 및 이벤트</v>
      </c>
      <c r="C63" s="16" t="n">
        <f aca="false">INDEX($N$6:$N$39,MATCH(A63,$Q$6:$Q$39,0))</f>
        <v>28.9666666666667</v>
      </c>
      <c r="D63" s="20" t="n">
        <f aca="false">INDEX($M$6:$M$39,MATCH(A63,$Q$6:$Q$39,0))</f>
        <v>3</v>
      </c>
    </row>
    <row r="64" customFormat="false" ht="15" hidden="false" customHeight="false" outlineLevel="0" collapsed="false">
      <c r="A64" s="20" t="n">
        <v>7</v>
      </c>
      <c r="B64" s="3" t="str">
        <f aca="false">INDEX($B$6:$B$39,MATCH(A64,$Q$6:$Q$39,0))</f>
        <v>SNS, 블로그 사용자 후기 및 전문가 리뷰</v>
      </c>
      <c r="C64" s="16" t="n">
        <f aca="false">INDEX($N$6:$N$39,MATCH(A64,$Q$6:$Q$39,0))</f>
        <v>23</v>
      </c>
      <c r="D64" s="20" t="n">
        <f aca="false">INDEX($M$6:$M$39,MATCH(A64,$Q$6:$Q$39,0))</f>
        <v>3</v>
      </c>
    </row>
    <row r="65" customFormat="false" ht="15" hidden="false" customHeight="false" outlineLevel="0" collapsed="false">
      <c r="A65" s="20" t="n">
        <v>8</v>
      </c>
      <c r="B65" s="3" t="str">
        <f aca="false">INDEX($B$6:$B$39,MATCH(A65,$Q$6:$Q$39,0))</f>
        <v>제품 카달로그/전단지</v>
      </c>
      <c r="C65" s="16" t="n">
        <f aca="false">INDEX($N$6:$N$39,MATCH(A65,$Q$6:$Q$39,0))</f>
        <v>19.7333333333333</v>
      </c>
      <c r="D65" s="20" t="n">
        <f aca="false">INDEX($M$6:$M$39,MATCH(A65,$Q$6:$Q$39,0))</f>
        <v>3</v>
      </c>
    </row>
    <row r="66" customFormat="false" ht="15" hidden="false" customHeight="false" outlineLevel="0" collapsed="false">
      <c r="A66" s="20" t="n">
        <v>9</v>
      </c>
      <c r="B66" s="3" t="str">
        <f aca="false">INDEX($B$6:$B$39,MATCH(A66,$Q$6:$Q$39,0))</f>
        <v>가격비교사이트 및 제품 관련 전문사이트</v>
      </c>
      <c r="C66" s="16" t="n">
        <f aca="false">INDEX($N$6:$N$39,MATCH(A66,$Q$6:$Q$39,0))</f>
        <v>19.6333333333333</v>
      </c>
      <c r="D66" s="20" t="n">
        <f aca="false">INDEX($M$6:$M$39,MATCH(A66,$Q$6:$Q$39,0))</f>
        <v>3</v>
      </c>
    </row>
    <row r="67" customFormat="false" ht="15" hidden="false" customHeight="false" outlineLevel="0" collapsed="false">
      <c r="A67" s="20" t="n">
        <v>10</v>
      </c>
      <c r="B67" s="3" t="str">
        <f aca="false">INDEX($B$6:$B$39,MATCH(A67,$Q$6:$Q$39,0))</f>
        <v>드라마 등 TV프로그램 속 간접광고(PPL)</v>
      </c>
      <c r="C67" s="16" t="n">
        <f aca="false">INDEX($N$6:$N$39,MATCH(A67,$Q$6:$Q$39,0))</f>
        <v>19.4333333333333</v>
      </c>
      <c r="D67" s="20" t="n">
        <f aca="false">INDEX($M$6:$M$39,MATCH(A67,$Q$6:$Q$39,0))</f>
        <v>3</v>
      </c>
    </row>
    <row r="70" customFormat="false" ht="17.15" hidden="false" customHeight="false" outlineLevel="0" collapsed="false">
      <c r="A70" s="24" t="s">
        <v>122</v>
      </c>
    </row>
    <row r="71" customFormat="false" ht="15" hidden="false" customHeight="false" outlineLevel="0" collapsed="false">
      <c r="A71" s="7" t="s">
        <v>103</v>
      </c>
      <c r="B71" s="7" t="s">
        <v>104</v>
      </c>
      <c r="C71" s="7" t="s">
        <v>120</v>
      </c>
    </row>
    <row r="72" customFormat="false" ht="15" hidden="false" customHeight="false" outlineLevel="0" collapsed="false">
      <c r="A72" s="20" t="n">
        <v>1</v>
      </c>
      <c r="B72" s="3" t="str">
        <f aca="false">INDEX($B$6:$B$39,MATCH(A72,$R$6:$R$39,0))</f>
        <v>주변사람(친구/가족/동료)의 추천</v>
      </c>
      <c r="C72" s="16" t="n">
        <f aca="false">INDEX($O$6:$O$39,MATCH(A72,$R$6:$R$39,0))</f>
        <v>64.3</v>
      </c>
    </row>
    <row r="73" customFormat="false" ht="15" hidden="false" customHeight="false" outlineLevel="0" collapsed="false">
      <c r="A73" s="20" t="n">
        <v>2</v>
      </c>
      <c r="B73" s="3" t="str">
        <f aca="false">INDEX($B$6:$B$39,MATCH(A73,$R$6:$R$39,0))</f>
        <v>TV 광고</v>
      </c>
      <c r="C73" s="16" t="n">
        <f aca="false">INDEX($O$6:$O$39,MATCH(A73,$R$6:$R$39,0))</f>
        <v>45.25</v>
      </c>
    </row>
    <row r="74" customFormat="false" ht="15" hidden="false" customHeight="false" outlineLevel="0" collapsed="false">
      <c r="A74" s="20" t="n">
        <v>3</v>
      </c>
      <c r="B74" s="3" t="str">
        <f aca="false">INDEX($B$6:$B$39,MATCH(A74,$R$6:$R$39,0))</f>
        <v>판매원(점원) 추천</v>
      </c>
      <c r="C74" s="16" t="n">
        <f aca="false">INDEX($O$6:$O$39,MATCH(A74,$R$6:$R$39,0))</f>
        <v>42.3</v>
      </c>
    </row>
    <row r="75" customFormat="false" ht="15" hidden="false" customHeight="false" outlineLevel="0" collapsed="false">
      <c r="A75" s="20" t="n">
        <v>4</v>
      </c>
      <c r="B75" s="3" t="str">
        <f aca="false">INDEX($B$6:$B$39,MATCH(A75,$R$6:$R$39,0))</f>
        <v>매장 내 진열제품 및 제품정보</v>
      </c>
      <c r="C75" s="16" t="n">
        <f aca="false">INDEX($O$6:$O$39,MATCH(A75,$R$6:$R$39,0))</f>
        <v>33.75</v>
      </c>
    </row>
    <row r="76" customFormat="false" ht="15" hidden="false" customHeight="false" outlineLevel="0" collapsed="false">
      <c r="A76" s="20" t="n">
        <v>5</v>
      </c>
      <c r="B76" s="3" t="str">
        <f aca="false">INDEX($B$6:$B$39,MATCH(A76,$R$6:$R$39,0))</f>
        <v>샘플/구매 사은품</v>
      </c>
      <c r="C76" s="16" t="n">
        <f aca="false">INDEX($O$6:$O$39,MATCH(A76,$R$6:$R$39,0))</f>
        <v>30.2</v>
      </c>
    </row>
    <row r="77" customFormat="false" ht="15" hidden="false" customHeight="false" outlineLevel="0" collapsed="false">
      <c r="A77" s="20" t="n">
        <v>6</v>
      </c>
      <c r="B77" s="3" t="str">
        <f aca="false">INDEX($B$6:$B$39,MATCH(A77,$R$6:$R$39,0))</f>
        <v>쿠폰/프로모션 등 행사 및 이벤트</v>
      </c>
      <c r="C77" s="16" t="n">
        <f aca="false">INDEX($O$6:$O$39,MATCH(A77,$R$6:$R$39,0))</f>
        <v>28.8</v>
      </c>
    </row>
    <row r="78" customFormat="false" ht="15" hidden="false" customHeight="false" outlineLevel="0" collapsed="false">
      <c r="A78" s="20" t="n">
        <v>7</v>
      </c>
      <c r="B78" s="3" t="str">
        <f aca="false">INDEX($B$6:$B$39,MATCH(A78,$R$6:$R$39,0))</f>
        <v>SNS, 블로그 사용자 후기 및 전문가 리뷰</v>
      </c>
      <c r="C78" s="16" t="n">
        <f aca="false">INDEX($O$6:$O$39,MATCH(A78,$R$6:$R$39,0))</f>
        <v>22.8</v>
      </c>
    </row>
    <row r="79" customFormat="false" ht="15" hidden="false" customHeight="false" outlineLevel="0" collapsed="false">
      <c r="A79" s="20" t="n">
        <v>8</v>
      </c>
      <c r="B79" s="3" t="str">
        <f aca="false">INDEX($B$6:$B$39,MATCH(A79,$R$6:$R$39,0))</f>
        <v>제품 카달로그/전단지</v>
      </c>
      <c r="C79" s="16" t="n">
        <f aca="false">INDEX($O$6:$O$39,MATCH(A79,$R$6:$R$39,0))</f>
        <v>19.95</v>
      </c>
    </row>
    <row r="80" customFormat="false" ht="15" hidden="false" customHeight="false" outlineLevel="0" collapsed="false">
      <c r="A80" s="20" t="n">
        <v>9</v>
      </c>
      <c r="B80" s="3" t="str">
        <f aca="false">INDEX($B$6:$B$39,MATCH(A80,$R$6:$R$39,0))</f>
        <v>가격비교사이트 및 제품 관련 전문사이트</v>
      </c>
      <c r="C80" s="16" t="n">
        <f aca="false">INDEX($O$6:$O$39,MATCH(A80,$R$6:$R$39,0))</f>
        <v>19.75</v>
      </c>
    </row>
    <row r="81" customFormat="false" ht="15" hidden="false" customHeight="false" outlineLevel="0" collapsed="false">
      <c r="A81" s="20" t="n">
        <v>10</v>
      </c>
      <c r="B81" s="3" t="str">
        <f aca="false">INDEX($B$6:$B$39,MATCH(A81,$R$6:$R$39,0))</f>
        <v>드라마 등 TV프로그램 속 간접광고(PPL)</v>
      </c>
      <c r="C81" s="16" t="n">
        <f aca="false">INDEX($O$6:$O$39,MATCH(A81,$R$6:$R$39,0))</f>
        <v>18.8</v>
      </c>
    </row>
  </sheetData>
  <mergeCells count="12">
    <mergeCell ref="A4:A5"/>
    <mergeCell ref="B4:B5"/>
    <mergeCell ref="C4:E4"/>
    <mergeCell ref="F4:H4"/>
    <mergeCell ref="I4:K4"/>
    <mergeCell ref="L4:L5"/>
    <mergeCell ref="M4:M5"/>
    <mergeCell ref="N4:N5"/>
    <mergeCell ref="O4:O5"/>
    <mergeCell ref="P4:P5"/>
    <mergeCell ref="Q4:Q5"/>
    <mergeCell ref="R4:R5"/>
  </mergeCells>
  <conditionalFormatting sqref="C6:K39">
    <cfRule type="expression" priority="2" aboveAverage="0" equalAverage="0" bottom="0" percent="0" rank="0" text="" dxfId="0">
      <formula>AND(ISNUMBER(C6),C6&lt;=5)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10" min="3" style="0" width="11"/>
  </cols>
  <sheetData>
    <row r="1" customFormat="false" ht="21.6" hidden="false" customHeight="false" outlineLevel="0" collapsed="false">
      <c r="A1" s="1" t="s">
        <v>123</v>
      </c>
    </row>
    <row r="2" customFormat="false" ht="15" hidden="false" customHeight="false" outlineLevel="0" collapsed="false">
      <c r="A2" s="6" t="s">
        <v>124</v>
      </c>
    </row>
    <row r="3" customFormat="false" ht="15" hidden="false" customHeight="false" outlineLevel="0" collapsed="false">
      <c r="A3" s="25" t="s">
        <v>125</v>
      </c>
      <c r="C3" s="26" t="n">
        <v>15</v>
      </c>
      <c r="D3" s="27" t="s">
        <v>126</v>
      </c>
    </row>
    <row r="5" customFormat="false" ht="15" hidden="false" customHeight="true" outlineLevel="0" collapsed="false">
      <c r="A5" s="7" t="s">
        <v>27</v>
      </c>
      <c r="B5" s="7" t="s">
        <v>28</v>
      </c>
      <c r="C5" s="18" t="s">
        <v>127</v>
      </c>
      <c r="D5" s="18"/>
      <c r="E5" s="18"/>
      <c r="F5" s="18" t="s">
        <v>128</v>
      </c>
      <c r="G5" s="18"/>
      <c r="H5" s="18"/>
      <c r="I5" s="18" t="s">
        <v>129</v>
      </c>
      <c r="J5" s="18"/>
    </row>
    <row r="6" customFormat="false" ht="15" hidden="false" customHeight="false" outlineLevel="0" collapsed="false">
      <c r="A6" s="7"/>
      <c r="B6" s="7"/>
      <c r="C6" s="7" t="s">
        <v>99</v>
      </c>
      <c r="D6" s="7" t="s">
        <v>100</v>
      </c>
      <c r="E6" s="7" t="s">
        <v>101</v>
      </c>
      <c r="F6" s="7" t="s">
        <v>99</v>
      </c>
      <c r="G6" s="7" t="s">
        <v>100</v>
      </c>
      <c r="H6" s="7" t="s">
        <v>101</v>
      </c>
      <c r="I6" s="7" t="s">
        <v>130</v>
      </c>
      <c r="J6" s="7" t="s">
        <v>131</v>
      </c>
    </row>
    <row r="7" customFormat="false" ht="15" hidden="false" customHeight="false" outlineLevel="0" collapsed="false">
      <c r="A7" s="3" t="str">
        <f aca="false">통합데이터!A7</f>
        <v>TV·라디오</v>
      </c>
      <c r="B7" s="3" t="str">
        <f aca="false">통합데이터!B7</f>
        <v>TV 광고</v>
      </c>
      <c r="C7" s="28" t="n">
        <f aca="false">IF(OR(통합데이터!D7="",통합데이터!E7=""),"",통합데이터!E7-통합데이터!D7)</f>
        <v>6.5</v>
      </c>
      <c r="D7" s="28" t="n">
        <f aca="false">IF(OR(통합데이터!G7="",통합데이터!H7=""),"",통합데이터!H7-통합데이터!G7)</f>
        <v>-2</v>
      </c>
      <c r="E7" s="28" t="n">
        <f aca="false">IF(OR(통합데이터!J7="",통합데이터!K7=""),"",통합데이터!K7-통합데이터!J7)</f>
        <v>3.7</v>
      </c>
      <c r="F7" s="28" t="n">
        <f aca="false">IF(OR(통합데이터!C7="",통합데이터!E7=""),"",통합데이터!E7-통합데이터!C7)</f>
        <v>4.59999999999999</v>
      </c>
      <c r="G7" s="28" t="n">
        <f aca="false">IF(OR(통합데이터!F7="",통합데이터!H7=""),"",통합데이터!H7-통합데이터!F7)</f>
        <v>-4.2</v>
      </c>
      <c r="H7" s="28" t="n">
        <f aca="false">IF(OR(통합데이터!I7="",통합데이터!K7=""),"",통합데이터!K7-통합데이터!I7)</f>
        <v>-4.5</v>
      </c>
      <c r="I7" s="28" t="n">
        <f aca="false">IF(OR(통합데이터!C7="",통합데이터!D7=""),"",통합데이터!D7-통합데이터!C7)</f>
        <v>-1.90000000000001</v>
      </c>
      <c r="J7" s="29" t="str">
        <f aca="false">IF(I7="","",IF(ABS(I7)&gt;=$C$3,"확인 필요",""))</f>
        <v/>
      </c>
    </row>
    <row r="8" customFormat="false" ht="15" hidden="false" customHeight="false" outlineLevel="0" collapsed="false">
      <c r="A8" s="3" t="str">
        <f aca="false">통합데이터!A8</f>
        <v>TV·라디오</v>
      </c>
      <c r="B8" s="3" t="str">
        <f aca="false">통합데이터!B8</f>
        <v>드라마 등 TV프로그램 속 간접광고(PPL)</v>
      </c>
      <c r="C8" s="28" t="n">
        <f aca="false">IF(OR(통합데이터!D8="",통합데이터!E8=""),"",통합데이터!E8-통합데이터!D8)</f>
        <v>-1.8</v>
      </c>
      <c r="D8" s="28" t="n">
        <f aca="false">IF(OR(통합데이터!G8="",통합데이터!H8=""),"",통합데이터!H8-통합데이터!G8)</f>
        <v>-1.5</v>
      </c>
      <c r="E8" s="28" t="n">
        <f aca="false">IF(OR(통합데이터!J8="",통합데이터!K8=""),"",통합데이터!K8-통합데이터!J8)</f>
        <v>-3.4</v>
      </c>
      <c r="F8" s="28" t="str">
        <f aca="false">IF(OR(통합데이터!C8="",통합데이터!E8=""),"",통합데이터!E8-통합데이터!C8)</f>
        <v/>
      </c>
      <c r="G8" s="28" t="n">
        <f aca="false">IF(OR(통합데이터!F8="",통합데이터!H8=""),"",통합데이터!H8-통합데이터!F8)</f>
        <v>1.4</v>
      </c>
      <c r="H8" s="28" t="n">
        <f aca="false">IF(OR(통합데이터!I8="",통합데이터!K8=""),"",통합데이터!K8-통합데이터!I8)</f>
        <v>-3.6</v>
      </c>
      <c r="I8" s="28" t="str">
        <f aca="false">IF(OR(통합데이터!C8="",통합데이터!D8=""),"",통합데이터!D8-통합데이터!C8)</f>
        <v/>
      </c>
      <c r="J8" s="29" t="str">
        <f aca="false">IF(I8="","",IF(ABS(I8)&gt;=$C$3,"확인 필요",""))</f>
        <v/>
      </c>
    </row>
    <row r="9" customFormat="false" ht="15" hidden="false" customHeight="false" outlineLevel="0" collapsed="false">
      <c r="A9" s="3" t="str">
        <f aca="false">통합데이터!A9</f>
        <v>TV·라디오</v>
      </c>
      <c r="B9" s="3" t="str">
        <f aca="false">통합데이터!B9</f>
        <v>라디오 광고</v>
      </c>
      <c r="C9" s="28" t="n">
        <f aca="false">IF(OR(통합데이터!D9="",통합데이터!E9=""),"",통합데이터!E9-통합데이터!D9)</f>
        <v>0.5</v>
      </c>
      <c r="D9" s="28" t="n">
        <f aca="false">IF(OR(통합데이터!G9="",통합데이터!H9=""),"",통합데이터!H9-통합데이터!G9)</f>
        <v>-0.300000000000001</v>
      </c>
      <c r="E9" s="28" t="n">
        <f aca="false">IF(OR(통합데이터!J9="",통합데이터!K9=""),"",통합데이터!K9-통합데이터!J9)</f>
        <v>-0.100000000000001</v>
      </c>
      <c r="F9" s="28" t="n">
        <f aca="false">IF(OR(통합데이터!C9="",통합데이터!E9=""),"",통합데이터!E9-통합데이터!C9)</f>
        <v>-8.3</v>
      </c>
      <c r="G9" s="28" t="n">
        <f aca="false">IF(OR(통합데이터!F9="",통합데이터!H9=""),"",통합데이터!H9-통합데이터!F9)</f>
        <v>0.6</v>
      </c>
      <c r="H9" s="28" t="n">
        <f aca="false">IF(OR(통합데이터!I9="",통합데이터!K9=""),"",통합데이터!K9-통합데이터!I9)</f>
        <v>1.2</v>
      </c>
      <c r="I9" s="28" t="n">
        <f aca="false">IF(OR(통합데이터!C9="",통합데이터!D9=""),"",통합데이터!D9-통합데이터!C9)</f>
        <v>-8.8</v>
      </c>
      <c r="J9" s="29" t="str">
        <f aca="false">IF(I9="","",IF(ABS(I9)&gt;=$C$3,"확인 필요",""))</f>
        <v/>
      </c>
    </row>
    <row r="10" customFormat="false" ht="15" hidden="false" customHeight="false" outlineLevel="0" collapsed="false">
      <c r="A10" s="3" t="str">
        <f aca="false">통합데이터!A10</f>
        <v>인쇄·DM</v>
      </c>
      <c r="B10" s="3" t="str">
        <f aca="false">통합데이터!B10</f>
        <v>신문 광고</v>
      </c>
      <c r="C10" s="28" t="n">
        <f aca="false">IF(OR(통합데이터!D10="",통합데이터!E10=""),"",통합데이터!E10-통합데이터!D10)</f>
        <v>-3.6</v>
      </c>
      <c r="D10" s="28" t="n">
        <f aca="false">IF(OR(통합데이터!G10="",통합데이터!H10=""),"",통합데이터!H10-통합데이터!G10)</f>
        <v>-1</v>
      </c>
      <c r="E10" s="28" t="n">
        <f aca="false">IF(OR(통합데이터!J10="",통합데이터!K10=""),"",통합데이터!K10-통합데이터!J10)</f>
        <v>-0.7</v>
      </c>
      <c r="F10" s="28" t="n">
        <f aca="false">IF(OR(통합데이터!C10="",통합데이터!E10=""),"",통합데이터!E10-통합데이터!C10)</f>
        <v>2.9</v>
      </c>
      <c r="G10" s="28" t="n">
        <f aca="false">IF(OR(통합데이터!F10="",통합데이터!H10=""),"",통합데이터!H10-통합데이터!F10)</f>
        <v>-5.6</v>
      </c>
      <c r="H10" s="28" t="n">
        <f aca="false">IF(OR(통합데이터!I10="",통합데이터!K10=""),"",통합데이터!K10-통합데이터!I10)</f>
        <v>-3</v>
      </c>
      <c r="I10" s="28" t="n">
        <f aca="false">IF(OR(통합데이터!C10="",통합데이터!D10=""),"",통합데이터!D10-통합데이터!C10)</f>
        <v>6.5</v>
      </c>
      <c r="J10" s="29" t="str">
        <f aca="false">IF(I10="","",IF(ABS(I10)&gt;=$C$3,"확인 필요",""))</f>
        <v/>
      </c>
    </row>
    <row r="11" customFormat="false" ht="15" hidden="false" customHeight="false" outlineLevel="0" collapsed="false">
      <c r="A11" s="3" t="str">
        <f aca="false">통합데이터!A11</f>
        <v>인쇄·DM</v>
      </c>
      <c r="B11" s="3" t="str">
        <f aca="false">통합데이터!B11</f>
        <v>신문 기사</v>
      </c>
      <c r="C11" s="28" t="n">
        <f aca="false">IF(OR(통합데이터!D11="",통합데이터!E11=""),"",통합데이터!E11-통합데이터!D11)</f>
        <v>-1.4</v>
      </c>
      <c r="D11" s="28" t="n">
        <f aca="false">IF(OR(통합데이터!G11="",통합데이터!H11=""),"",통합데이터!H11-통합데이터!G11)</f>
        <v>-0.600000000000001</v>
      </c>
      <c r="E11" s="28" t="n">
        <f aca="false">IF(OR(통합데이터!J11="",통합데이터!K11=""),"",통합데이터!K11-통합데이터!J11)</f>
        <v>-1.7</v>
      </c>
      <c r="F11" s="28" t="n">
        <f aca="false">IF(OR(통합데이터!C11="",통합데이터!E11=""),"",통합데이터!E11-통합데이터!C11)</f>
        <v>-4.5</v>
      </c>
      <c r="G11" s="28" t="n">
        <f aca="false">IF(OR(통합데이터!F11="",통합데이터!H11=""),"",통합데이터!H11-통합데이터!F11)</f>
        <v>-4.3</v>
      </c>
      <c r="H11" s="28" t="n">
        <f aca="false">IF(OR(통합데이터!I11="",통합데이터!K11=""),"",통합데이터!K11-통합데이터!I11)</f>
        <v>-3.5</v>
      </c>
      <c r="I11" s="28" t="n">
        <f aca="false">IF(OR(통합데이터!C11="",통합데이터!D11=""),"",통합데이터!D11-통합데이터!C11)</f>
        <v>-3.1</v>
      </c>
      <c r="J11" s="29" t="str">
        <f aca="false">IF(I11="","",IF(ABS(I11)&gt;=$C$3,"확인 필요",""))</f>
        <v/>
      </c>
    </row>
    <row r="12" customFormat="false" ht="15" hidden="false" customHeight="false" outlineLevel="0" collapsed="false">
      <c r="A12" s="3" t="str">
        <f aca="false">통합데이터!A12</f>
        <v>인쇄·DM</v>
      </c>
      <c r="B12" s="3" t="str">
        <f aca="false">통합데이터!B12</f>
        <v>잡지 광고</v>
      </c>
      <c r="C12" s="28" t="n">
        <f aca="false">IF(OR(통합데이터!D12="",통합데이터!E12=""),"",통합데이터!E12-통합데이터!D12)</f>
        <v>-2.5</v>
      </c>
      <c r="D12" s="28" t="n">
        <f aca="false">IF(OR(통합데이터!G12="",통합데이터!H12=""),"",통합데이터!H12-통합데이터!G12)</f>
        <v>1</v>
      </c>
      <c r="E12" s="28" t="n">
        <f aca="false">IF(OR(통합데이터!J12="",통합데이터!K12=""),"",통합데이터!K12-통합데이터!J12)</f>
        <v>0.2</v>
      </c>
      <c r="F12" s="28" t="n">
        <f aca="false">IF(OR(통합데이터!C12="",통합데이터!E12=""),"",통합데이터!E12-통합데이터!C12)</f>
        <v>0.400000000000002</v>
      </c>
      <c r="G12" s="28" t="n">
        <f aca="false">IF(OR(통합데이터!F12="",통합데이터!H12=""),"",통합데이터!H12-통합데이터!F12)</f>
        <v>-4.3</v>
      </c>
      <c r="H12" s="28" t="n">
        <f aca="false">IF(OR(통합데이터!I12="",통합데이터!K12=""),"",통합데이터!K12-통합데이터!I12)</f>
        <v>-2.7</v>
      </c>
      <c r="I12" s="28" t="n">
        <f aca="false">IF(OR(통합데이터!C12="",통합데이터!D12=""),"",통합데이터!D12-통합데이터!C12)</f>
        <v>2.9</v>
      </c>
      <c r="J12" s="29" t="str">
        <f aca="false">IF(I12="","",IF(ABS(I12)&gt;=$C$3,"확인 필요",""))</f>
        <v/>
      </c>
    </row>
    <row r="13" customFormat="false" ht="15" hidden="false" customHeight="false" outlineLevel="0" collapsed="false">
      <c r="A13" s="3" t="str">
        <f aca="false">통합데이터!A13</f>
        <v>인쇄·DM</v>
      </c>
      <c r="B13" s="3" t="str">
        <f aca="false">통합데이터!B13</f>
        <v>잡지 기사</v>
      </c>
      <c r="C13" s="28" t="n">
        <f aca="false">IF(OR(통합데이터!D13="",통합데이터!E13=""),"",통합데이터!E13-통합데이터!D13)</f>
        <v>-2.8</v>
      </c>
      <c r="D13" s="28" t="n">
        <f aca="false">IF(OR(통합데이터!G13="",통합데이터!H13=""),"",통합데이터!H13-통합데이터!G13)</f>
        <v>0.800000000000001</v>
      </c>
      <c r="E13" s="28" t="n">
        <f aca="false">IF(OR(통합데이터!J13="",통합데이터!K13=""),"",통합데이터!K13-통합데이터!J13)</f>
        <v>-0.9</v>
      </c>
      <c r="F13" s="28" t="n">
        <f aca="false">IF(OR(통합데이터!C13="",통합데이터!E13=""),"",통합데이터!E13-통합데이터!C13)</f>
        <v>-4.1</v>
      </c>
      <c r="G13" s="28" t="n">
        <f aca="false">IF(OR(통합데이터!F13="",통합데이터!H13=""),"",통합데이터!H13-통합데이터!F13)</f>
        <v>-3.6</v>
      </c>
      <c r="H13" s="28" t="n">
        <f aca="false">IF(OR(통합데이터!I13="",통합데이터!K13=""),"",통합데이터!K13-통합데이터!I13)</f>
        <v>-3.9</v>
      </c>
      <c r="I13" s="28" t="n">
        <f aca="false">IF(OR(통합데이터!C13="",통합데이터!D13=""),"",통합데이터!D13-통합데이터!C13)</f>
        <v>-1.3</v>
      </c>
      <c r="J13" s="29" t="str">
        <f aca="false">IF(I13="","",IF(ABS(I13)&gt;=$C$3,"확인 필요",""))</f>
        <v/>
      </c>
    </row>
    <row r="14" customFormat="false" ht="15" hidden="false" customHeight="false" outlineLevel="0" collapsed="false">
      <c r="A14" s="3" t="str">
        <f aca="false">통합데이터!A14</f>
        <v>인쇄·DM</v>
      </c>
      <c r="B14" s="3" t="str">
        <f aca="false">통합데이터!B14</f>
        <v>제품 카달로그/전단지</v>
      </c>
      <c r="C14" s="28" t="n">
        <f aca="false">IF(OR(통합데이터!D14="",통합데이터!E14=""),"",통합데이터!E14-통합데이터!D14)</f>
        <v>4.5</v>
      </c>
      <c r="D14" s="28" t="n">
        <f aca="false">IF(OR(통합데이터!G14="",통합데이터!H14=""),"",통합데이터!H14-통합데이터!G14)</f>
        <v>0.599999999999998</v>
      </c>
      <c r="E14" s="28" t="n">
        <f aca="false">IF(OR(통합데이터!J14="",통합데이터!K14=""),"",통합데이터!K14-통합데이터!J14)</f>
        <v>-0.699999999999999</v>
      </c>
      <c r="F14" s="28" t="n">
        <f aca="false">IF(OR(통합데이터!C14="",통합데이터!E14=""),"",통합데이터!E14-통합데이터!C14)</f>
        <v>27.5</v>
      </c>
      <c r="G14" s="28" t="n">
        <f aca="false">IF(OR(통합데이터!F14="",통합데이터!H14=""),"",통합데이터!H14-통합데이터!F14)</f>
        <v>0</v>
      </c>
      <c r="H14" s="28" t="n">
        <f aca="false">IF(OR(통합데이터!I14="",통합데이터!K14=""),"",통합데이터!K14-통합데이터!I14)</f>
        <v>0.300000000000001</v>
      </c>
      <c r="I14" s="28" t="n">
        <f aca="false">IF(OR(통합데이터!C14="",통합데이터!D14=""),"",통합데이터!D14-통합데이터!C14)</f>
        <v>23</v>
      </c>
      <c r="J14" s="29" t="str">
        <f aca="false">IF(I14="","",IF(ABS(I14)&gt;=$C$3,"확인 필요",""))</f>
        <v>확인 필요</v>
      </c>
    </row>
    <row r="15" customFormat="false" ht="15" hidden="false" customHeight="false" outlineLevel="0" collapsed="false">
      <c r="A15" s="3" t="str">
        <f aca="false">통합데이터!A15</f>
        <v>인쇄·DM</v>
      </c>
      <c r="B15" s="3" t="str">
        <f aca="false">통합데이터!B15</f>
        <v>광고 우편물/명세서 등</v>
      </c>
      <c r="C15" s="28" t="n">
        <f aca="false">IF(OR(통합데이터!D15="",통합데이터!E15=""),"",통합데이터!E15-통합데이터!D15)</f>
        <v>1</v>
      </c>
      <c r="D15" s="28" t="n">
        <f aca="false">IF(OR(통합데이터!G15="",통합데이터!H15=""),"",통합데이터!H15-통합데이터!G15)</f>
        <v>-1.4</v>
      </c>
      <c r="E15" s="28" t="n">
        <f aca="false">IF(OR(통합데이터!J15="",통합데이터!K15=""),"",통합데이터!K15-통합데이터!J15)</f>
        <v>-1.8</v>
      </c>
      <c r="F15" s="28" t="n">
        <f aca="false">IF(OR(통합데이터!C15="",통합데이터!E15=""),"",통합데이터!E15-통합데이터!C15)</f>
        <v>-8.3</v>
      </c>
      <c r="G15" s="28" t="n">
        <f aca="false">IF(OR(통합데이터!F15="",통합데이터!H15=""),"",통합데이터!H15-통합데이터!F15)</f>
        <v>-2.6</v>
      </c>
      <c r="H15" s="28" t="n">
        <f aca="false">IF(OR(통합데이터!I15="",통합데이터!K15=""),"",통합데이터!K15-통합데이터!I15)</f>
        <v>-0.9</v>
      </c>
      <c r="I15" s="28" t="n">
        <f aca="false">IF(OR(통합데이터!C15="",통합데이터!D15=""),"",통합데이터!D15-통합데이터!C15)</f>
        <v>-9.3</v>
      </c>
      <c r="J15" s="29" t="str">
        <f aca="false">IF(I15="","",IF(ABS(I15)&gt;=$C$3,"확인 필요",""))</f>
        <v/>
      </c>
    </row>
    <row r="16" customFormat="false" ht="15" hidden="false" customHeight="false" outlineLevel="0" collapsed="false">
      <c r="A16" s="3" t="str">
        <f aca="false">통합데이터!A16</f>
        <v>온라인·디지털</v>
      </c>
      <c r="B16" s="3" t="str">
        <f aca="false">통합데이터!B16</f>
        <v>배너 광고</v>
      </c>
      <c r="C16" s="28" t="n">
        <f aca="false">IF(OR(통합데이터!D16="",통합데이터!E16=""),"",통합데이터!E16-통합데이터!D16)</f>
        <v>-0.100000000000001</v>
      </c>
      <c r="D16" s="28" t="n">
        <f aca="false">IF(OR(통합데이터!G16="",통합데이터!H16=""),"",통합데이터!H16-통합데이터!G16)</f>
        <v>-1.3</v>
      </c>
      <c r="E16" s="28" t="n">
        <f aca="false">IF(OR(통합데이터!J16="",통합데이터!K16=""),"",통합데이터!K16-통합데이터!J16)</f>
        <v>-0.6</v>
      </c>
      <c r="F16" s="28" t="n">
        <f aca="false">IF(OR(통합데이터!C16="",통합데이터!E16=""),"",통합데이터!E16-통합데이터!C16)</f>
        <v>-0.5</v>
      </c>
      <c r="G16" s="28" t="n">
        <f aca="false">IF(OR(통합데이터!F16="",통합데이터!H16=""),"",통합데이터!H16-통합데이터!F16)</f>
        <v>-5.9</v>
      </c>
      <c r="H16" s="28" t="n">
        <f aca="false">IF(OR(통합데이터!I16="",통합데이터!K16=""),"",통합데이터!K16-통합데이터!I16)</f>
        <v>-2.7</v>
      </c>
      <c r="I16" s="28" t="n">
        <f aca="false">IF(OR(통합데이터!C16="",통합데이터!D16=""),"",통합데이터!D16-통합데이터!C16)</f>
        <v>-0.399999999999999</v>
      </c>
      <c r="J16" s="29" t="str">
        <f aca="false">IF(I16="","",IF(ABS(I16)&gt;=$C$3,"확인 필요",""))</f>
        <v/>
      </c>
    </row>
    <row r="17" customFormat="false" ht="15" hidden="false" customHeight="false" outlineLevel="0" collapsed="false">
      <c r="A17" s="3" t="str">
        <f aca="false">통합데이터!A17</f>
        <v>온라인·디지털</v>
      </c>
      <c r="B17" s="3" t="str">
        <f aca="false">통합데이터!B17</f>
        <v>팝업 광고</v>
      </c>
      <c r="C17" s="28" t="n">
        <f aca="false">IF(OR(통합데이터!D17="",통합데이터!E17=""),"",통합데이터!E17-통합데이터!D17)</f>
        <v>-1.2</v>
      </c>
      <c r="D17" s="28" t="n">
        <f aca="false">IF(OR(통합데이터!G17="",통합데이터!H17=""),"",통합데이터!H17-통합데이터!G17)</f>
        <v>-1</v>
      </c>
      <c r="E17" s="28" t="n">
        <f aca="false">IF(OR(통합데이터!J17="",통합데이터!K17=""),"",통합데이터!K17-통합데이터!J17)</f>
        <v>-0.4</v>
      </c>
      <c r="F17" s="28" t="n">
        <f aca="false">IF(OR(통합데이터!C17="",통합데이터!E17=""),"",통합데이터!E17-통합데이터!C17)</f>
        <v>2.1</v>
      </c>
      <c r="G17" s="28" t="n">
        <f aca="false">IF(OR(통합데이터!F17="",통합데이터!H17=""),"",통합데이터!H17-통합데이터!F17)</f>
        <v>-5.3</v>
      </c>
      <c r="H17" s="28" t="n">
        <f aca="false">IF(OR(통합데이터!I17="",통합데이터!K17=""),"",통합데이터!K17-통합데이터!I17)</f>
        <v>-3.4</v>
      </c>
      <c r="I17" s="28" t="n">
        <f aca="false">IF(OR(통합데이터!C17="",통합데이터!D17=""),"",통합데이터!D17-통합데이터!C17)</f>
        <v>3.3</v>
      </c>
      <c r="J17" s="29" t="str">
        <f aca="false">IF(I17="","",IF(ABS(I17)&gt;=$C$3,"확인 필요",""))</f>
        <v/>
      </c>
    </row>
    <row r="18" customFormat="false" ht="15" hidden="false" customHeight="false" outlineLevel="0" collapsed="false">
      <c r="A18" s="3" t="str">
        <f aca="false">통합데이터!A18</f>
        <v>온라인·디지털</v>
      </c>
      <c r="B18" s="3" t="str">
        <f aca="false">통합데이터!B18</f>
        <v>동영상 광고 (동영상 재생 전후 등)</v>
      </c>
      <c r="C18" s="28" t="n">
        <f aca="false">IF(OR(통합데이터!D18="",통합데이터!E18=""),"",통합데이터!E18-통합데이터!D18)</f>
        <v>0.100000000000001</v>
      </c>
      <c r="D18" s="28" t="n">
        <f aca="false">IF(OR(통합데이터!G18="",통합데이터!H18=""),"",통합데이터!H18-통합데이터!G18)</f>
        <v>1.2</v>
      </c>
      <c r="E18" s="28" t="n">
        <f aca="false">IF(OR(통합데이터!J18="",통합데이터!K18=""),"",통합데이터!K18-통합데이터!J18)</f>
        <v>0.7</v>
      </c>
      <c r="F18" s="28" t="n">
        <f aca="false">IF(OR(통합데이터!C18="",통합데이터!E18=""),"",통합데이터!E18-통합데이터!C18)</f>
        <v>6.9</v>
      </c>
      <c r="G18" s="28" t="n">
        <f aca="false">IF(OR(통합데이터!F18="",통합데이터!H18=""),"",통합데이터!H18-통합데이터!F18)</f>
        <v>-3.6</v>
      </c>
      <c r="H18" s="28" t="n">
        <f aca="false">IF(OR(통합데이터!I18="",통합데이터!K18=""),"",통합데이터!K18-통합데이터!I18)</f>
        <v>-4.2</v>
      </c>
      <c r="I18" s="28" t="n">
        <f aca="false">IF(OR(통합데이터!C18="",통합데이터!D18=""),"",통합데이터!D18-통합데이터!C18)</f>
        <v>6.8</v>
      </c>
      <c r="J18" s="29" t="str">
        <f aca="false">IF(I18="","",IF(ABS(I18)&gt;=$C$3,"확인 필요",""))</f>
        <v/>
      </c>
    </row>
    <row r="19" customFormat="false" ht="15" hidden="false" customHeight="false" outlineLevel="0" collapsed="false">
      <c r="A19" s="3" t="str">
        <f aca="false">통합데이터!A19</f>
        <v>온라인·디지털</v>
      </c>
      <c r="B19" s="3" t="str">
        <f aca="false">통합데이터!B19</f>
        <v>검색어/키워드 광고</v>
      </c>
      <c r="C19" s="28" t="n">
        <f aca="false">IF(OR(통합데이터!D19="",통합데이터!E19=""),"",통합데이터!E19-통합데이터!D19)</f>
        <v>2.4</v>
      </c>
      <c r="D19" s="28" t="n">
        <f aca="false">IF(OR(통합데이터!G19="",통합데이터!H19=""),"",통합데이터!H19-통합데이터!G19)</f>
        <v>0</v>
      </c>
      <c r="E19" s="28" t="n">
        <f aca="false">IF(OR(통합데이터!J19="",통합데이터!K19=""),"",통합데이터!K19-통합데이터!J19)</f>
        <v>0.2</v>
      </c>
      <c r="F19" s="28" t="n">
        <f aca="false">IF(OR(통합데이터!C19="",통합데이터!E19=""),"",통합데이터!E19-통합데이터!C19)</f>
        <v>3.5</v>
      </c>
      <c r="G19" s="28" t="n">
        <f aca="false">IF(OR(통합데이터!F19="",통합데이터!H19=""),"",통합데이터!H19-통합데이터!F19)</f>
        <v>-5.9</v>
      </c>
      <c r="H19" s="28" t="n">
        <f aca="false">IF(OR(통합데이터!I19="",통합데이터!K19=""),"",통합데이터!K19-통합데이터!I19)</f>
        <v>-3.9</v>
      </c>
      <c r="I19" s="28" t="n">
        <f aca="false">IF(OR(통합데이터!C19="",통합데이터!D19=""),"",통합데이터!D19-통합데이터!C19)</f>
        <v>1.1</v>
      </c>
      <c r="J19" s="29" t="str">
        <f aca="false">IF(I19="","",IF(ABS(I19)&gt;=$C$3,"확인 필요",""))</f>
        <v/>
      </c>
    </row>
    <row r="20" customFormat="false" ht="15" hidden="false" customHeight="false" outlineLevel="0" collapsed="false">
      <c r="A20" s="3" t="str">
        <f aca="false">통합데이터!A20</f>
        <v>온라인·디지털</v>
      </c>
      <c r="B20" s="3" t="str">
        <f aca="false">통합데이터!B20</f>
        <v>인터넷 기사</v>
      </c>
      <c r="C20" s="28" t="n">
        <f aca="false">IF(OR(통합데이터!D20="",통합데이터!E20=""),"",통합데이터!E20-통합데이터!D20)</f>
        <v>3.3</v>
      </c>
      <c r="D20" s="28" t="n">
        <f aca="false">IF(OR(통합데이터!G20="",통합데이터!H20=""),"",통합데이터!H20-통합데이터!G20)</f>
        <v>-1</v>
      </c>
      <c r="E20" s="28" t="n">
        <f aca="false">IF(OR(통합데이터!J20="",통합데이터!K20=""),"",통합데이터!K20-통합데이터!J20)</f>
        <v>-1.6</v>
      </c>
      <c r="F20" s="28" t="n">
        <f aca="false">IF(OR(통합데이터!C20="",통합데이터!E20=""),"",통합데이터!E20-통합데이터!C20)</f>
        <v>10.6</v>
      </c>
      <c r="G20" s="28" t="n">
        <f aca="false">IF(OR(통합데이터!F20="",통합데이터!H20=""),"",통합데이터!H20-통합데이터!F20)</f>
        <v>-6.1</v>
      </c>
      <c r="H20" s="28" t="n">
        <f aca="false">IF(OR(통합데이터!I20="",통합데이터!K20=""),"",통합데이터!K20-통합데이터!I20)</f>
        <v>-6.1</v>
      </c>
      <c r="I20" s="28" t="n">
        <f aca="false">IF(OR(통합데이터!C20="",통합데이터!D20=""),"",통합데이터!D20-통합데이터!C20)</f>
        <v>7.3</v>
      </c>
      <c r="J20" s="29" t="str">
        <f aca="false">IF(I20="","",IF(ABS(I20)&gt;=$C$3,"확인 필요",""))</f>
        <v/>
      </c>
    </row>
    <row r="21" customFormat="false" ht="15" hidden="false" customHeight="false" outlineLevel="0" collapsed="false">
      <c r="A21" s="3" t="str">
        <f aca="false">통합데이터!A21</f>
        <v>온라인·디지털</v>
      </c>
      <c r="B21" s="3" t="str">
        <f aca="false">통합데이터!B21</f>
        <v>SNS(페이스북, 인스타그램, 트위터 등) 광고/홍보</v>
      </c>
      <c r="C21" s="28" t="n">
        <f aca="false">IF(OR(통합데이터!D21="",통합데이터!E21=""),"",통합데이터!E21-통합데이터!D21)</f>
        <v>0.300000000000001</v>
      </c>
      <c r="D21" s="28" t="n">
        <f aca="false">IF(OR(통합데이터!G21="",통합데이터!H21=""),"",통합데이터!H21-통합데이터!G21)</f>
        <v>0.299999999999997</v>
      </c>
      <c r="E21" s="28" t="n">
        <f aca="false">IF(OR(통합데이터!J21="",통합데이터!K21=""),"",통합데이터!K21-통합데이터!J21)</f>
        <v>-1.1</v>
      </c>
      <c r="F21" s="28" t="n">
        <f aca="false">IF(OR(통합데이터!C21="",통합데이터!E21=""),"",통합데이터!E21-통합데이터!C21)</f>
        <v>-10.1</v>
      </c>
      <c r="G21" s="28" t="n">
        <f aca="false">IF(OR(통합데이터!F21="",통합데이터!H21=""),"",통합데이터!H21-통합데이터!F21)</f>
        <v>-3.4</v>
      </c>
      <c r="H21" s="28" t="n">
        <f aca="false">IF(OR(통합데이터!I21="",통합데이터!K21=""),"",통합데이터!K21-통합데이터!I21)</f>
        <v>-5.5</v>
      </c>
      <c r="I21" s="28" t="n">
        <f aca="false">IF(OR(통합데이터!C21="",통합데이터!D21=""),"",통합데이터!D21-통합데이터!C21)</f>
        <v>-10.4</v>
      </c>
      <c r="J21" s="29" t="str">
        <f aca="false">IF(I21="","",IF(ABS(I21)&gt;=$C$3,"확인 필요",""))</f>
        <v/>
      </c>
    </row>
    <row r="22" customFormat="false" ht="15" hidden="false" customHeight="false" outlineLevel="0" collapsed="false">
      <c r="A22" s="3" t="str">
        <f aca="false">통합데이터!A22</f>
        <v>온라인·디지털</v>
      </c>
      <c r="B22" s="3" t="str">
        <f aca="false">통합데이터!B22</f>
        <v>SNS, 블로그 사용자 후기 및 전문가 리뷰</v>
      </c>
      <c r="C22" s="28" t="n">
        <f aca="false">IF(OR(통합데이터!D22="",통합데이터!E22=""),"",통합데이터!E22-통합데이터!D22)</f>
        <v>3</v>
      </c>
      <c r="D22" s="28" t="n">
        <f aca="false">IF(OR(통합데이터!G22="",통합데이터!H22=""),"",통합데이터!H22-통합데이터!G22)</f>
        <v>4</v>
      </c>
      <c r="E22" s="28" t="n">
        <f aca="false">IF(OR(통합데이터!J22="",통합데이터!K22=""),"",통합데이터!K22-통합데이터!J22)</f>
        <v>3.6</v>
      </c>
      <c r="F22" s="28" t="n">
        <f aca="false">IF(OR(통합데이터!C22="",통합데이터!E22=""),"",통합데이터!E22-통합데이터!C22)</f>
        <v>3.2</v>
      </c>
      <c r="G22" s="28" t="n">
        <f aca="false">IF(OR(통합데이터!F22="",통합데이터!H22=""),"",통합데이터!H22-통합데이터!F22)</f>
        <v>2.5</v>
      </c>
      <c r="H22" s="28" t="n">
        <f aca="false">IF(OR(통합데이터!I22="",통합데이터!K22=""),"",통합데이터!K22-통합데이터!I22)</f>
        <v>1.2</v>
      </c>
      <c r="I22" s="28" t="n">
        <f aca="false">IF(OR(통합데이터!C22="",통합데이터!D22=""),"",통합데이터!D22-통합데이터!C22)</f>
        <v>0.200000000000003</v>
      </c>
      <c r="J22" s="29" t="str">
        <f aca="false">IF(I22="","",IF(ABS(I22)&gt;=$C$3,"확인 필요",""))</f>
        <v/>
      </c>
    </row>
    <row r="23" customFormat="false" ht="15" hidden="false" customHeight="false" outlineLevel="0" collapsed="false">
      <c r="A23" s="3" t="str">
        <f aca="false">통합데이터!A23</f>
        <v>온라인·디지털</v>
      </c>
      <c r="B23" s="3" t="str">
        <f aca="false">통합데이터!B23</f>
        <v>포털 카페 및 커뮤니티(네이버, 다음 등)</v>
      </c>
      <c r="C23" s="28" t="n">
        <f aca="false">IF(OR(통합데이터!D23="",통합데이터!E23=""),"",통합데이터!E23-통합데이터!D23)</f>
        <v>4.7</v>
      </c>
      <c r="D23" s="28" t="n">
        <f aca="false">IF(OR(통합데이터!G23="",통합데이터!H23=""),"",통합데이터!H23-통합데이터!G23)</f>
        <v>3.3</v>
      </c>
      <c r="E23" s="28" t="n">
        <f aca="false">IF(OR(통합데이터!J23="",통합데이터!K23=""),"",통합데이터!K23-통합데이터!J23)</f>
        <v>2.5</v>
      </c>
      <c r="F23" s="28" t="n">
        <f aca="false">IF(OR(통합데이터!C23="",통합데이터!E23=""),"",통합데이터!E23-통합데이터!C23)</f>
        <v>4.3</v>
      </c>
      <c r="G23" s="28" t="n">
        <f aca="false">IF(OR(통합데이터!F23="",통합데이터!H23=""),"",통합데이터!H23-통합데이터!F23)</f>
        <v>-2.9</v>
      </c>
      <c r="H23" s="28" t="n">
        <f aca="false">IF(OR(통합데이터!I23="",통합데이터!K23=""),"",통합데이터!K23-통합데이터!I23)</f>
        <v>-5</v>
      </c>
      <c r="I23" s="28" t="n">
        <f aca="false">IF(OR(통합데이터!C23="",통합데이터!D23=""),"",통합데이터!D23-통합데이터!C23)</f>
        <v>-0.400000000000002</v>
      </c>
      <c r="J23" s="29" t="str">
        <f aca="false">IF(I23="","",IF(ABS(I23)&gt;=$C$3,"확인 필요",""))</f>
        <v/>
      </c>
    </row>
    <row r="24" customFormat="false" ht="15" hidden="false" customHeight="false" outlineLevel="0" collapsed="false">
      <c r="A24" s="3" t="str">
        <f aca="false">통합데이터!A24</f>
        <v>온라인·디지털</v>
      </c>
      <c r="B24" s="3" t="str">
        <f aca="false">통합데이터!B24</f>
        <v>가격비교사이트 및 제품 관련 전문사이트</v>
      </c>
      <c r="C24" s="28" t="n">
        <f aca="false">IF(OR(통합데이터!D24="",통합데이터!E24=""),"",통합데이터!E24-통합데이터!D24)</f>
        <v>1.7</v>
      </c>
      <c r="D24" s="28" t="n">
        <f aca="false">IF(OR(통합데이터!G24="",통합데이터!H24=""),"",통합데이터!H24-통합데이터!G24)</f>
        <v>-0.4</v>
      </c>
      <c r="E24" s="28" t="n">
        <f aca="false">IF(OR(통합데이터!J24="",통합데이터!K24=""),"",통합데이터!K24-통합데이터!J24)</f>
        <v>0.899999999999999</v>
      </c>
      <c r="F24" s="28" t="n">
        <f aca="false">IF(OR(통합데이터!C24="",통합데이터!E24=""),"",통합데이터!E24-통합데이터!C24)</f>
        <v>-11</v>
      </c>
      <c r="G24" s="28" t="n">
        <f aca="false">IF(OR(통합데이터!F24="",통합데이터!H24=""),"",통합데이터!H24-통합데이터!F24)</f>
        <v>-3.8</v>
      </c>
      <c r="H24" s="28" t="n">
        <f aca="false">IF(OR(통합데이터!I24="",통합데이터!K24=""),"",통합데이터!K24-통합데이터!I24)</f>
        <v>0.800000000000001</v>
      </c>
      <c r="I24" s="28" t="n">
        <f aca="false">IF(OR(통합데이터!C24="",통합데이터!D24=""),"",통합데이터!D24-통합데이터!C24)</f>
        <v>-12.7</v>
      </c>
      <c r="J24" s="29" t="str">
        <f aca="false">IF(I24="","",IF(ABS(I24)&gt;=$C$3,"확인 필요",""))</f>
        <v/>
      </c>
    </row>
    <row r="25" customFormat="false" ht="15" hidden="false" customHeight="false" outlineLevel="0" collapsed="false">
      <c r="A25" s="3" t="str">
        <f aca="false">통합데이터!A25</f>
        <v>온라인·디지털</v>
      </c>
      <c r="B25" s="3" t="str">
        <f aca="false">통합데이터!B25</f>
        <v>해당 제품/매장 웹사이트</v>
      </c>
      <c r="C25" s="28" t="n">
        <f aca="false">IF(OR(통합데이터!D25="",통합데이터!E25=""),"",통합데이터!E25-통합데이터!D25)</f>
        <v>0.499999999999998</v>
      </c>
      <c r="D25" s="28" t="n">
        <f aca="false">IF(OR(통합데이터!G25="",통합데이터!H25=""),"",통합데이터!H25-통합데이터!G25)</f>
        <v>0.299999999999999</v>
      </c>
      <c r="E25" s="28" t="n">
        <f aca="false">IF(OR(통합데이터!J25="",통합데이터!K25=""),"",통합데이터!K25-통합데이터!J25)</f>
        <v>0.300000000000001</v>
      </c>
      <c r="F25" s="28" t="n">
        <f aca="false">IF(OR(통합데이터!C25="",통합데이터!E25=""),"",통합데이터!E25-통합데이터!C25)</f>
        <v>-9.3</v>
      </c>
      <c r="G25" s="28" t="n">
        <f aca="false">IF(OR(통합데이터!F25="",통합데이터!H25=""),"",통합데이터!H25-통합데이터!F25)</f>
        <v>-2.6</v>
      </c>
      <c r="H25" s="28" t="n">
        <f aca="false">IF(OR(통합데이터!I25="",통합데이터!K25=""),"",통합데이터!K25-통합데이터!I25)</f>
        <v>-1.7</v>
      </c>
      <c r="I25" s="28" t="n">
        <f aca="false">IF(OR(통합데이터!C25="",통합데이터!D25=""),"",통합데이터!D25-통합데이터!C25)</f>
        <v>-9.8</v>
      </c>
      <c r="J25" s="29" t="str">
        <f aca="false">IF(I25="","",IF(ABS(I25)&gt;=$C$3,"확인 필요",""))</f>
        <v/>
      </c>
    </row>
    <row r="26" customFormat="false" ht="15" hidden="false" customHeight="false" outlineLevel="0" collapsed="false">
      <c r="A26" s="3" t="str">
        <f aca="false">통합데이터!A26</f>
        <v>온라인·디지털</v>
      </c>
      <c r="B26" s="3" t="str">
        <f aca="false">통합데이터!B26</f>
        <v>이메일 광고/뉴스레터 등</v>
      </c>
      <c r="C26" s="28" t="n">
        <f aca="false">IF(OR(통합데이터!D26="",통합데이터!E26=""),"",통합데이터!E26-통합데이터!D26)</f>
        <v>-1.1</v>
      </c>
      <c r="D26" s="28" t="n">
        <f aca="false">IF(OR(통합데이터!G26="",통합데이터!H26=""),"",통합데이터!H26-통합데이터!G26)</f>
        <v>-1.3</v>
      </c>
      <c r="E26" s="28" t="n">
        <f aca="false">IF(OR(통합데이터!J26="",통합데이터!K26=""),"",통합데이터!K26-통합데이터!J26)</f>
        <v>-0.9</v>
      </c>
      <c r="F26" s="28" t="n">
        <f aca="false">IF(OR(통합데이터!C26="",통합데이터!E26=""),"",통합데이터!E26-통합데이터!C26)</f>
        <v>-7.5</v>
      </c>
      <c r="G26" s="28" t="n">
        <f aca="false">IF(OR(통합데이터!F26="",통합데이터!H26=""),"",통합데이터!H26-통합데이터!F26)</f>
        <v>-4.2</v>
      </c>
      <c r="H26" s="28" t="n">
        <f aca="false">IF(OR(통합데이터!I26="",통합데이터!K26=""),"",통합데이터!K26-통합데이터!I26)</f>
        <v>-2.5</v>
      </c>
      <c r="I26" s="28" t="n">
        <f aca="false">IF(OR(통합데이터!C26="",통합데이터!D26=""),"",통합데이터!D26-통합데이터!C26)</f>
        <v>-6.4</v>
      </c>
      <c r="J26" s="29" t="str">
        <f aca="false">IF(I26="","",IF(ABS(I26)&gt;=$C$3,"확인 필요",""))</f>
        <v/>
      </c>
    </row>
    <row r="27" customFormat="false" ht="15" hidden="false" customHeight="false" outlineLevel="0" collapsed="false">
      <c r="A27" s="3" t="str">
        <f aca="false">통합데이터!A27</f>
        <v>옥외·공간</v>
      </c>
      <c r="B27" s="3" t="str">
        <f aca="false">통합데이터!B27</f>
        <v>건물 외벽/옥상, 역사 및 정류장 광고</v>
      </c>
      <c r="C27" s="28" t="n">
        <f aca="false">IF(OR(통합데이터!D27="",통합데이터!E27=""),"",통합데이터!E27-통합데이터!D27)</f>
        <v>2.6</v>
      </c>
      <c r="D27" s="28" t="n">
        <f aca="false">IF(OR(통합데이터!G27="",통합데이터!H27=""),"",통합데이터!H27-통합데이터!G27)</f>
        <v>-0.100000000000001</v>
      </c>
      <c r="E27" s="28" t="n">
        <f aca="false">IF(OR(통합데이터!J27="",통합데이터!K27=""),"",통합데이터!K27-통합데이터!J27)</f>
        <v>-0.8</v>
      </c>
      <c r="F27" s="28" t="n">
        <f aca="false">IF(OR(통합데이터!C27="",통합데이터!E27=""),"",통합데이터!E27-통합데이터!C27)</f>
        <v>30.2</v>
      </c>
      <c r="G27" s="28" t="n">
        <f aca="false">IF(OR(통합데이터!F27="",통합데이터!H27=""),"",통합데이터!H27-통합데이터!F27)</f>
        <v>-6.9</v>
      </c>
      <c r="H27" s="28" t="n">
        <f aca="false">IF(OR(통합데이터!I27="",통합데이터!K27=""),"",통합데이터!K27-통합데이터!I27)</f>
        <v>-4</v>
      </c>
      <c r="I27" s="28" t="n">
        <f aca="false">IF(OR(통합데이터!C27="",통합데이터!D27=""),"",통합데이터!D27-통합데이터!C27)</f>
        <v>27.6</v>
      </c>
      <c r="J27" s="29" t="str">
        <f aca="false">IF(I27="","",IF(ABS(I27)&gt;=$C$3,"확인 필요",""))</f>
        <v>확인 필요</v>
      </c>
    </row>
    <row r="28" customFormat="false" ht="15" hidden="false" customHeight="false" outlineLevel="0" collapsed="false">
      <c r="A28" s="3" t="str">
        <f aca="false">통합데이터!A28</f>
        <v>옥외·공간</v>
      </c>
      <c r="B28" s="3" t="str">
        <f aca="false">통합데이터!B28</f>
        <v>버스, 택시, 지하철 광고</v>
      </c>
      <c r="C28" s="28" t="n">
        <f aca="false">IF(OR(통합데이터!D28="",통합데이터!E28=""),"",통합데이터!E28-통합데이터!D28)</f>
        <v>6.5</v>
      </c>
      <c r="D28" s="28" t="n">
        <f aca="false">IF(OR(통합데이터!G28="",통합데이터!H28=""),"",통합데이터!H28-통합데이터!G28)</f>
        <v>0.600000000000001</v>
      </c>
      <c r="E28" s="28" t="n">
        <f aca="false">IF(OR(통합데이터!J28="",통합데이터!K28=""),"",통합데이터!K28-통합데이터!J28)</f>
        <v>0.3</v>
      </c>
      <c r="F28" s="28" t="n">
        <f aca="false">IF(OR(통합데이터!C28="",통합데이터!E28=""),"",통합데이터!E28-통합데이터!C28)</f>
        <v>7.9</v>
      </c>
      <c r="G28" s="28" t="n">
        <f aca="false">IF(OR(통합데이터!F28="",통합데이터!H28=""),"",통합데이터!H28-통합데이터!F28)</f>
        <v>-4.6</v>
      </c>
      <c r="H28" s="28" t="n">
        <f aca="false">IF(OR(통합데이터!I28="",통합데이터!K28=""),"",통합데이터!K28-통합데이터!I28)</f>
        <v>-2.6</v>
      </c>
      <c r="I28" s="28" t="n">
        <f aca="false">IF(OR(통합데이터!C28="",통합데이터!D28=""),"",통합데이터!D28-통합데이터!C28)</f>
        <v>1.4</v>
      </c>
      <c r="J28" s="29" t="str">
        <f aca="false">IF(I28="","",IF(ABS(I28)&gt;=$C$3,"확인 필요",""))</f>
        <v/>
      </c>
    </row>
    <row r="29" customFormat="false" ht="15" hidden="false" customHeight="false" outlineLevel="0" collapsed="false">
      <c r="A29" s="3" t="str">
        <f aca="false">통합데이터!A29</f>
        <v>옥외·공간</v>
      </c>
      <c r="B29" s="3" t="str">
        <f aca="false">통합데이터!B29</f>
        <v>영화관, 스포츠 경기장, 공연장 등 광고</v>
      </c>
      <c r="C29" s="28" t="n">
        <f aca="false">IF(OR(통합데이터!D29="",통합데이터!E29=""),"",통합데이터!E29-통합데이터!D29)</f>
        <v>2.90000000000001</v>
      </c>
      <c r="D29" s="28" t="n">
        <f aca="false">IF(OR(통합데이터!G29="",통합데이터!H29=""),"",통합데이터!H29-통합데이터!G29)</f>
        <v>-1.5</v>
      </c>
      <c r="E29" s="28" t="n">
        <f aca="false">IF(OR(통합데이터!J29="",통합데이터!K29=""),"",통합데이터!K29-통합데이터!J29)</f>
        <v>-1.7</v>
      </c>
      <c r="F29" s="28" t="n">
        <f aca="false">IF(OR(통합데이터!C29="",통합데이터!E29=""),"",통합데이터!E29-통합데이터!C29)</f>
        <v>5.4</v>
      </c>
      <c r="G29" s="28" t="n">
        <f aca="false">IF(OR(통합데이터!F29="",통합데이터!H29=""),"",통합데이터!H29-통합데이터!F29)</f>
        <v>-1.9</v>
      </c>
      <c r="H29" s="28" t="n">
        <f aca="false">IF(OR(통합데이터!I29="",통합데이터!K29=""),"",통합데이터!K29-통합데이터!I29)</f>
        <v>-2.9</v>
      </c>
      <c r="I29" s="28" t="n">
        <f aca="false">IF(OR(통합데이터!C29="",통합데이터!D29=""),"",통합데이터!D29-통합데이터!C29)</f>
        <v>2.5</v>
      </c>
      <c r="J29" s="29" t="str">
        <f aca="false">IF(I29="","",IF(ABS(I29)&gt;=$C$3,"확인 필요",""))</f>
        <v/>
      </c>
    </row>
    <row r="30" customFormat="false" ht="15" hidden="false" customHeight="false" outlineLevel="0" collapsed="false">
      <c r="A30" s="3" t="str">
        <f aca="false">통합데이터!A30</f>
        <v>매장·판촉</v>
      </c>
      <c r="B30" s="3" t="str">
        <f aca="false">통합데이터!B30</f>
        <v>매장 간판 및 외관 광고물</v>
      </c>
      <c r="C30" s="28" t="n">
        <f aca="false">IF(OR(통합데이터!D30="",통합데이터!E30=""),"",통합데이터!E30-통합데이터!D30)</f>
        <v>0.799999999999997</v>
      </c>
      <c r="D30" s="28" t="n">
        <f aca="false">IF(OR(통합데이터!G30="",통합데이터!H30=""),"",통합데이터!H30-통합데이터!G30)</f>
        <v>-0.600000000000001</v>
      </c>
      <c r="E30" s="28" t="n">
        <f aca="false">IF(OR(통합데이터!J30="",통합데이터!K30=""),"",통합데이터!K30-통합데이터!J30)</f>
        <v>-0.0999999999999996</v>
      </c>
      <c r="F30" s="28" t="n">
        <f aca="false">IF(OR(통합데이터!C30="",통합데이터!E30=""),"",통합데이터!E30-통합데이터!C30)</f>
        <v>13.4</v>
      </c>
      <c r="G30" s="28" t="n">
        <f aca="false">IF(OR(통합데이터!F30="",통합데이터!H30=""),"",통합데이터!H30-통합데이터!F30)</f>
        <v>-2.4</v>
      </c>
      <c r="H30" s="28" t="n">
        <f aca="false">IF(OR(통합데이터!I30="",통합데이터!K30=""),"",통합데이터!K30-통합데이터!I30)</f>
        <v>-4</v>
      </c>
      <c r="I30" s="28" t="n">
        <f aca="false">IF(OR(통합데이터!C30="",통합데이터!D30=""),"",통합데이터!D30-통합데이터!C30)</f>
        <v>12.6</v>
      </c>
      <c r="J30" s="29" t="str">
        <f aca="false">IF(I30="","",IF(ABS(I30)&gt;=$C$3,"확인 필요",""))</f>
        <v/>
      </c>
    </row>
    <row r="31" customFormat="false" ht="15" hidden="false" customHeight="false" outlineLevel="0" collapsed="false">
      <c r="A31" s="3" t="str">
        <f aca="false">통합데이터!A31</f>
        <v>매장·판촉</v>
      </c>
      <c r="B31" s="3" t="str">
        <f aca="false">통합데이터!B31</f>
        <v>매장 내 광고(POP)</v>
      </c>
      <c r="C31" s="28" t="n">
        <f aca="false">IF(OR(통합데이터!D31="",통합데이터!E31=""),"",통합데이터!E31-통합데이터!D31)</f>
        <v>0.600000000000001</v>
      </c>
      <c r="D31" s="28" t="n">
        <f aca="false">IF(OR(통합데이터!G31="",통합데이터!H31=""),"",통합데이터!H31-통합데이터!G31)</f>
        <v>-0.5</v>
      </c>
      <c r="E31" s="28" t="n">
        <f aca="false">IF(OR(통합데이터!J31="",통합데이터!K31=""),"",통합데이터!K31-통합데이터!J31)</f>
        <v>-2.5</v>
      </c>
      <c r="F31" s="28" t="n">
        <f aca="false">IF(OR(통합데이터!C31="",통합데이터!E31=""),"",통합데이터!E31-통합데이터!C31)</f>
        <v>0.899999999999999</v>
      </c>
      <c r="G31" s="28" t="n">
        <f aca="false">IF(OR(통합데이터!F31="",통합데이터!H31=""),"",통합데이터!H31-통합데이터!F31)</f>
        <v>-2.1</v>
      </c>
      <c r="H31" s="28" t="n">
        <f aca="false">IF(OR(통합데이터!I31="",통합데이터!K31=""),"",통합데이터!K31-통합데이터!I31)</f>
        <v>-4.5</v>
      </c>
      <c r="I31" s="28" t="n">
        <f aca="false">IF(OR(통합데이터!C31="",통합데이터!D31=""),"",통합데이터!D31-통합데이터!C31)</f>
        <v>0.299999999999997</v>
      </c>
      <c r="J31" s="29" t="str">
        <f aca="false">IF(I31="","",IF(ABS(I31)&gt;=$C$3,"확인 필요",""))</f>
        <v/>
      </c>
    </row>
    <row r="32" customFormat="false" ht="15" hidden="false" customHeight="false" outlineLevel="0" collapsed="false">
      <c r="A32" s="3" t="str">
        <f aca="false">통합데이터!A32</f>
        <v>매장·판촉</v>
      </c>
      <c r="B32" s="3" t="str">
        <f aca="false">통합데이터!B32</f>
        <v>판매원(점원) 추천</v>
      </c>
      <c r="C32" s="28" t="n">
        <f aca="false">IF(OR(통합데이터!D32="",통합데이터!E32=""),"",통합데이터!E32-통합데이터!D32)</f>
        <v>5.5</v>
      </c>
      <c r="D32" s="28" t="n">
        <f aca="false">IF(OR(통합데이터!G32="",통합데이터!H32=""),"",통합데이터!H32-통합데이터!G32)</f>
        <v>3.3</v>
      </c>
      <c r="E32" s="28" t="n">
        <f aca="false">IF(OR(통합데이터!J32="",통합데이터!K32=""),"",통합데이터!K32-통합데이터!J32)</f>
        <v>2.2</v>
      </c>
      <c r="F32" s="28" t="n">
        <f aca="false">IF(OR(통합데이터!C32="",통합데이터!E32=""),"",통합데이터!E32-통합데이터!C32)</f>
        <v>10</v>
      </c>
      <c r="G32" s="28" t="n">
        <f aca="false">IF(OR(통합데이터!F32="",통합데이터!H32=""),"",통합데이터!H32-통합데이터!F32)</f>
        <v>1.1</v>
      </c>
      <c r="H32" s="28" t="n">
        <f aca="false">IF(OR(통합데이터!I32="",통합데이터!K32=""),"",통합데이터!K32-통합데이터!I32)</f>
        <v>1.9</v>
      </c>
      <c r="I32" s="28" t="n">
        <f aca="false">IF(OR(통합데이터!C32="",통합데이터!D32=""),"",통합데이터!D32-통합데이터!C32)</f>
        <v>4.5</v>
      </c>
      <c r="J32" s="29" t="str">
        <f aca="false">IF(I32="","",IF(ABS(I32)&gt;=$C$3,"확인 필요",""))</f>
        <v/>
      </c>
    </row>
    <row r="33" customFormat="false" ht="15" hidden="false" customHeight="false" outlineLevel="0" collapsed="false">
      <c r="A33" s="3" t="str">
        <f aca="false">통합데이터!A33</f>
        <v>매장·판촉</v>
      </c>
      <c r="B33" s="3" t="str">
        <f aca="false">통합데이터!B33</f>
        <v>샘플/구매 사은품</v>
      </c>
      <c r="C33" s="28" t="n">
        <f aca="false">IF(OR(통합데이터!D33="",통합데이터!E33=""),"",통합데이터!E33-통합데이터!D33)</f>
        <v>5.8</v>
      </c>
      <c r="D33" s="28" t="n">
        <f aca="false">IF(OR(통합데이터!G33="",통합데이터!H33=""),"",통합데이터!H33-통합데이터!G33)</f>
        <v>2.9</v>
      </c>
      <c r="E33" s="28" t="n">
        <f aca="false">IF(OR(통합데이터!J33="",통합데이터!K33=""),"",통합데이터!K33-통합데이터!J33)</f>
        <v>2.2</v>
      </c>
      <c r="F33" s="28" t="n">
        <f aca="false">IF(OR(통합데이터!C33="",통합데이터!E33=""),"",통합데이터!E33-통합데이터!C33)</f>
        <v>-14.6</v>
      </c>
      <c r="G33" s="28" t="n">
        <f aca="false">IF(OR(통합데이터!F33="",통합데이터!H33=""),"",통합데이터!H33-통합데이터!F33)</f>
        <v>1.8</v>
      </c>
      <c r="H33" s="28" t="n">
        <f aca="false">IF(OR(통합데이터!I33="",통합데이터!K33=""),"",통합데이터!K33-통합데이터!I33)</f>
        <v>-2.7</v>
      </c>
      <c r="I33" s="28" t="n">
        <f aca="false">IF(OR(통합데이터!C33="",통합데이터!D33=""),"",통합데이터!D33-통합데이터!C33)</f>
        <v>-20.4</v>
      </c>
      <c r="J33" s="29" t="str">
        <f aca="false">IF(I33="","",IF(ABS(I33)&gt;=$C$3,"확인 필요",""))</f>
        <v>확인 필요</v>
      </c>
    </row>
    <row r="34" customFormat="false" ht="15" hidden="false" customHeight="false" outlineLevel="0" collapsed="false">
      <c r="A34" s="3" t="str">
        <f aca="false">통합데이터!A34</f>
        <v>매장·판촉</v>
      </c>
      <c r="B34" s="3" t="str">
        <f aca="false">통합데이터!B34</f>
        <v>쿠폰/프로모션 등 행사 및 이벤트</v>
      </c>
      <c r="C34" s="28" t="n">
        <f aca="false">IF(OR(통합데이터!D34="",통합데이터!E34=""),"",통합데이터!E34-통합데이터!D34)</f>
        <v>4.3</v>
      </c>
      <c r="D34" s="28" t="n">
        <f aca="false">IF(OR(통합데이터!G34="",통합데이터!H34=""),"",통합데이터!H34-통합데이터!G34)</f>
        <v>2.2</v>
      </c>
      <c r="E34" s="28" t="n">
        <f aca="false">IF(OR(통합데이터!J34="",통합데이터!K34=""),"",통합데이터!K34-통합데이터!J34)</f>
        <v>4.8</v>
      </c>
      <c r="F34" s="28" t="n">
        <f aca="false">IF(OR(통합데이터!C34="",통합데이터!E34=""),"",통합데이터!E34-통합데이터!C34)</f>
        <v>-6.9</v>
      </c>
      <c r="G34" s="28" t="n">
        <f aca="false">IF(OR(통합데이터!F34="",통합데이터!H34=""),"",통합데이터!H34-통합데이터!F34)</f>
        <v>2</v>
      </c>
      <c r="H34" s="28" t="n">
        <f aca="false">IF(OR(통합데이터!I34="",통합데이터!K34=""),"",통합데이터!K34-통합데이터!I34)</f>
        <v>1.9</v>
      </c>
      <c r="I34" s="28" t="n">
        <f aca="false">IF(OR(통합데이터!C34="",통합데이터!D34=""),"",통합데이터!D34-통합데이터!C34)</f>
        <v>-11.2</v>
      </c>
      <c r="J34" s="29" t="str">
        <f aca="false">IF(I34="","",IF(ABS(I34)&gt;=$C$3,"확인 필요",""))</f>
        <v/>
      </c>
    </row>
    <row r="35" customFormat="false" ht="15" hidden="false" customHeight="false" outlineLevel="0" collapsed="false">
      <c r="A35" s="3" t="str">
        <f aca="false">통합데이터!A35</f>
        <v>매장·판촉</v>
      </c>
      <c r="B35" s="3" t="str">
        <f aca="false">통합데이터!B35</f>
        <v>매장 내 진열제품 및 제품정보</v>
      </c>
      <c r="C35" s="28" t="n">
        <f aca="false">IF(OR(통합데이터!D35="",통합데이터!E35=""),"",통합데이터!E35-통합데이터!D35)</f>
        <v>5.3</v>
      </c>
      <c r="D35" s="28" t="n">
        <f aca="false">IF(OR(통합데이터!G35="",통합데이터!H35=""),"",통합데이터!H35-통합데이터!G35)</f>
        <v>1.5</v>
      </c>
      <c r="E35" s="28" t="n">
        <f aca="false">IF(OR(통합데이터!J35="",통합데이터!K35=""),"",통합데이터!K35-통합데이터!J35)</f>
        <v>0.900000000000006</v>
      </c>
      <c r="F35" s="28" t="n">
        <f aca="false">IF(OR(통합데이터!C35="",통합데이터!E35=""),"",통합데이터!E35-통합데이터!C35)</f>
        <v>14</v>
      </c>
      <c r="G35" s="28" t="n">
        <f aca="false">IF(OR(통합데이터!F35="",통합데이터!H35=""),"",통합데이터!H35-통합데이터!F35)</f>
        <v>0.899999999999999</v>
      </c>
      <c r="H35" s="28" t="n">
        <f aca="false">IF(OR(통합데이터!I35="",통합데이터!K35=""),"",통합데이터!K35-통합데이터!I35)</f>
        <v>-3.3</v>
      </c>
      <c r="I35" s="28" t="n">
        <f aca="false">IF(OR(통합데이터!C35="",통합데이터!D35=""),"",통합데이터!D35-통합데이터!C35)</f>
        <v>8.7</v>
      </c>
      <c r="J35" s="29" t="str">
        <f aca="false">IF(I35="","",IF(ABS(I35)&gt;=$C$3,"확인 필요",""))</f>
        <v/>
      </c>
    </row>
    <row r="36" customFormat="false" ht="15" hidden="false" customHeight="false" outlineLevel="0" collapsed="false">
      <c r="A36" s="3" t="str">
        <f aca="false">통합데이터!A36</f>
        <v>구전</v>
      </c>
      <c r="B36" s="3" t="str">
        <f aca="false">통합데이터!B36</f>
        <v>주변사람(친구/가족/동료)의 추천</v>
      </c>
      <c r="C36" s="28" t="n">
        <f aca="false">IF(OR(통합데이터!D36="",통합데이터!E36=""),"",통합데이터!E36-통합데이터!D36)</f>
        <v>2.7</v>
      </c>
      <c r="D36" s="28" t="n">
        <f aca="false">IF(OR(통합데이터!G36="",통합데이터!H36=""),"",통합데이터!H36-통합데이터!G36)</f>
        <v>5.7</v>
      </c>
      <c r="E36" s="28" t="n">
        <f aca="false">IF(OR(통합데이터!J36="",통합데이터!K36=""),"",통합데이터!K36-통합데이터!J36)</f>
        <v>7.8</v>
      </c>
      <c r="F36" s="28" t="n">
        <f aca="false">IF(OR(통합데이터!C36="",통합데이터!E36=""),"",통합데이터!E36-통합데이터!C36)</f>
        <v>11.4</v>
      </c>
      <c r="G36" s="28" t="n">
        <f aca="false">IF(OR(통합데이터!F36="",통합데이터!H36=""),"",통합데이터!H36-통합데이터!F36)</f>
        <v>5</v>
      </c>
      <c r="H36" s="28" t="n">
        <f aca="false">IF(OR(통합데이터!I36="",통합데이터!K36=""),"",통합데이터!K36-통합데이터!I36)</f>
        <v>6.2</v>
      </c>
      <c r="I36" s="28" t="n">
        <f aca="false">IF(OR(통합데이터!C36="",통합데이터!D36=""),"",통합데이터!D36-통합데이터!C36)</f>
        <v>8.7</v>
      </c>
      <c r="J36" s="29" t="str">
        <f aca="false">IF(I36="","",IF(ABS(I36)&gt;=$C$3,"확인 필요",""))</f>
        <v/>
      </c>
    </row>
    <row r="37" customFormat="false" ht="15" hidden="false" customHeight="false" outlineLevel="0" collapsed="false">
      <c r="A37" s="3" t="str">
        <f aca="false">통합데이터!A37</f>
        <v>기업활동·후원</v>
      </c>
      <c r="B37" s="3" t="str">
        <f aca="false">통합데이터!B37</f>
        <v>회사의 사회공헌 및 기여활동</v>
      </c>
      <c r="C37" s="28" t="n">
        <f aca="false">IF(OR(통합데이터!D37="",통합데이터!E37=""),"",통합데이터!E37-통합데이터!D37)</f>
        <v>-1.7</v>
      </c>
      <c r="D37" s="28" t="n">
        <f aca="false">IF(OR(통합데이터!G37="",통합데이터!H37=""),"",통합데이터!H37-통합데이터!G37)</f>
        <v>0.799999999999999</v>
      </c>
      <c r="E37" s="28" t="n">
        <f aca="false">IF(OR(통합데이터!J37="",통합데이터!K37=""),"",통합데이터!K37-통합데이터!J37)</f>
        <v>-2.3</v>
      </c>
      <c r="F37" s="28" t="n">
        <f aca="false">IF(OR(통합데이터!C37="",통합데이터!E37=""),"",통합데이터!E37-통합데이터!C37)</f>
        <v>-49.4</v>
      </c>
      <c r="G37" s="28" t="n">
        <f aca="false">IF(OR(통합데이터!F37="",통합데이터!H37=""),"",통합데이터!H37-통합데이터!F37)</f>
        <v>-3.4</v>
      </c>
      <c r="H37" s="28" t="n">
        <f aca="false">IF(OR(통합데이터!I37="",통합데이터!K37=""),"",통합데이터!K37-통합데이터!I37)</f>
        <v>-5.2</v>
      </c>
      <c r="I37" s="28" t="n">
        <f aca="false">IF(OR(통합데이터!C37="",통합데이터!D37=""),"",통합데이터!D37-통합데이터!C37)</f>
        <v>-47.7</v>
      </c>
      <c r="J37" s="29" t="str">
        <f aca="false">IF(I37="","",IF(ABS(I37)&gt;=$C$3,"확인 필요",""))</f>
        <v>확인 필요</v>
      </c>
    </row>
    <row r="38" customFormat="false" ht="15" hidden="false" customHeight="false" outlineLevel="0" collapsed="false">
      <c r="A38" s="3" t="str">
        <f aca="false">통합데이터!A38</f>
        <v>기업활동·후원</v>
      </c>
      <c r="B38" s="3" t="str">
        <f aca="false">통합데이터!B38</f>
        <v>게임 또는 스포츠 팀 후원</v>
      </c>
      <c r="C38" s="28" t="str">
        <f aca="false">IF(OR(통합데이터!D38="",통합데이터!E38=""),"",통합데이터!E38-통합데이터!D38)</f>
        <v/>
      </c>
      <c r="D38" s="28" t="str">
        <f aca="false">IF(OR(통합데이터!G38="",통합데이터!H38=""),"",통합데이터!H38-통합데이터!G38)</f>
        <v/>
      </c>
      <c r="E38" s="28" t="str">
        <f aca="false">IF(OR(통합데이터!J38="",통합데이터!K38=""),"",통합데이터!K38-통합데이터!J38)</f>
        <v/>
      </c>
      <c r="F38" s="28" t="str">
        <f aca="false">IF(OR(통합데이터!C38="",통합데이터!E38=""),"",통합데이터!E38-통합데이터!C38)</f>
        <v/>
      </c>
      <c r="G38" s="28" t="str">
        <f aca="false">IF(OR(통합데이터!F38="",통합데이터!H38=""),"",통합데이터!H38-통합데이터!F38)</f>
        <v/>
      </c>
      <c r="H38" s="28" t="str">
        <f aca="false">IF(OR(통합데이터!I38="",통합데이터!K38=""),"",통합데이터!K38-통합데이터!I38)</f>
        <v/>
      </c>
      <c r="I38" s="28" t="str">
        <f aca="false">IF(OR(통합데이터!C38="",통합데이터!D38=""),"",통합데이터!D38-통합데이터!C38)</f>
        <v/>
      </c>
      <c r="J38" s="29" t="str">
        <f aca="false">IF(I38="","",IF(ABS(I38)&gt;=$C$3,"확인 필요",""))</f>
        <v/>
      </c>
    </row>
    <row r="39" customFormat="false" ht="15" hidden="false" customHeight="false" outlineLevel="0" collapsed="false">
      <c r="A39" s="3" t="str">
        <f aca="false">통합데이터!A39</f>
        <v>기업활동·후원</v>
      </c>
      <c r="B39" s="3" t="str">
        <f aca="false">통합데이터!B39</f>
        <v>TV프로그램/영화 제작 투자</v>
      </c>
      <c r="C39" s="28" t="n">
        <f aca="false">IF(OR(통합데이터!D39="",통합데이터!E39=""),"",통합데이터!E39-통합데이터!D39)</f>
        <v>-0.4</v>
      </c>
      <c r="D39" s="28" t="n">
        <f aca="false">IF(OR(통합데이터!G39="",통합데이터!H39=""),"",통합데이터!H39-통합데이터!G39)</f>
        <v>-2.4</v>
      </c>
      <c r="E39" s="28" t="n">
        <f aca="false">IF(OR(통합데이터!J39="",통합데이터!K39=""),"",통합데이터!K39-통합데이터!J39)</f>
        <v>-1.1</v>
      </c>
      <c r="F39" s="28" t="n">
        <f aca="false">IF(OR(통합데이터!C39="",통합데이터!E39=""),"",통합데이터!E39-통합데이터!C39)</f>
        <v>-1.8</v>
      </c>
      <c r="G39" s="28" t="n">
        <f aca="false">IF(OR(통합데이터!F39="",통합데이터!H39=""),"",통합데이터!H39-통합데이터!F39)</f>
        <v>-4.3</v>
      </c>
      <c r="H39" s="28" t="n">
        <f aca="false">IF(OR(통합데이터!I39="",통합데이터!K39=""),"",통합데이터!K39-통합데이터!I39)</f>
        <v>-4.5</v>
      </c>
      <c r="I39" s="28" t="n">
        <f aca="false">IF(OR(통합데이터!C39="",통합데이터!D39=""),"",통합데이터!D39-통합데이터!C39)</f>
        <v>-1.4</v>
      </c>
      <c r="J39" s="29" t="str">
        <f aca="false">IF(I39="","",IF(ABS(I39)&gt;=$C$3,"확인 필요",""))</f>
        <v/>
      </c>
    </row>
    <row r="40" customFormat="false" ht="15" hidden="false" customHeight="false" outlineLevel="0" collapsed="false">
      <c r="A40" s="3" t="str">
        <f aca="false">통합데이터!A40</f>
        <v>기업활동·후원</v>
      </c>
      <c r="B40" s="3" t="str">
        <f aca="false">통합데이터!B40</f>
        <v>신제품발표회/무역박람회/전시회</v>
      </c>
      <c r="C40" s="28" t="n">
        <f aca="false">IF(OR(통합데이터!D40="",통합데이터!E40=""),"",통합데이터!E40-통합데이터!D40)</f>
        <v>0.199999999999999</v>
      </c>
      <c r="D40" s="28" t="n">
        <f aca="false">IF(OR(통합데이터!G40="",통합데이터!H40=""),"",통합데이터!H40-통합데이터!G40)</f>
        <v>0.199999999999999</v>
      </c>
      <c r="E40" s="28" t="n">
        <f aca="false">IF(OR(통합데이터!J40="",통합데이터!K40=""),"",통합데이터!K40-통합데이터!J40)</f>
        <v>-1.3</v>
      </c>
      <c r="F40" s="28" t="n">
        <f aca="false">IF(OR(통합데이터!C40="",통합데이터!E40=""),"",통합데이터!E40-통합데이터!C40)</f>
        <v>-3.9</v>
      </c>
      <c r="G40" s="28" t="n">
        <f aca="false">IF(OR(통합데이터!F40="",통합데이터!H40=""),"",통합데이터!H40-통합데이터!F40)</f>
        <v>-3.5</v>
      </c>
      <c r="H40" s="28" t="n">
        <f aca="false">IF(OR(통합데이터!I40="",통합데이터!K40=""),"",통합데이터!K40-통합데이터!I40)</f>
        <v>-3</v>
      </c>
      <c r="I40" s="28" t="n">
        <f aca="false">IF(OR(통합데이터!C40="",통합데이터!D40=""),"",통합데이터!D40-통합데이터!C40)</f>
        <v>-4.1</v>
      </c>
      <c r="J40" s="29" t="str">
        <f aca="false">IF(I40="","",IF(ABS(I40)&gt;=$C$3,"확인 필요",""))</f>
        <v/>
      </c>
    </row>
  </sheetData>
  <mergeCells count="5">
    <mergeCell ref="A5:A6"/>
    <mergeCell ref="B5:B6"/>
    <mergeCell ref="C5:E5"/>
    <mergeCell ref="F5:H5"/>
    <mergeCell ref="I5:J5"/>
  </mergeCells>
  <conditionalFormatting sqref="C7:I40">
    <cfRule type="expression" priority="2" aboveAverage="0" equalAverage="0" bottom="0" percent="0" rank="0" text="" dxfId="1">
      <formula>AND(ISNUMBER(C7),C7&gt;0)</formula>
    </cfRule>
    <cfRule type="expression" priority="3" aboveAverage="0" equalAverage="0" bottom="0" percent="0" rank="0" text="" dxfId="2">
      <formula>AND(ISNUMBER(C7),C7&lt;0)</formula>
    </cfRule>
  </conditionalFormatting>
  <conditionalFormatting sqref="J7:J40">
    <cfRule type="expression" priority="4" aboveAverage="0" equalAverage="0" bottom="0" percent="0" rank="0" text="" dxfId="3">
      <formula>J7="확인 필요"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1"/>
  </cols>
  <sheetData>
    <row r="1" customFormat="false" ht="21.6" hidden="false" customHeight="false" outlineLevel="0" collapsed="false">
      <c r="A1" s="1" t="s">
        <v>132</v>
      </c>
    </row>
    <row r="2" customFormat="false" ht="15" hidden="false" customHeight="false" outlineLevel="0" collapsed="false">
      <c r="A2" s="6" t="s">
        <v>133</v>
      </c>
    </row>
    <row r="4" customFormat="false" ht="30" hidden="false" customHeight="true" outlineLevel="0" collapsed="false">
      <c r="A4" s="7" t="s">
        <v>27</v>
      </c>
      <c r="B4" s="7" t="s">
        <v>134</v>
      </c>
      <c r="C4" s="8" t="s">
        <v>29</v>
      </c>
      <c r="D4" s="8"/>
      <c r="E4" s="8"/>
      <c r="F4" s="9" t="s">
        <v>30</v>
      </c>
      <c r="G4" s="9"/>
      <c r="H4" s="9"/>
      <c r="I4" s="10" t="s">
        <v>31</v>
      </c>
      <c r="J4" s="10"/>
      <c r="K4" s="10"/>
      <c r="L4" s="7" t="s">
        <v>135</v>
      </c>
    </row>
    <row r="5" customFormat="false" ht="15" hidden="false" customHeight="false" outlineLevel="0" collapsed="false">
      <c r="A5" s="7"/>
      <c r="B5" s="7"/>
      <c r="C5" s="11" t="s">
        <v>32</v>
      </c>
      <c r="D5" s="11" t="s">
        <v>33</v>
      </c>
      <c r="E5" s="11" t="s">
        <v>34</v>
      </c>
      <c r="F5" s="12" t="s">
        <v>32</v>
      </c>
      <c r="G5" s="12" t="s">
        <v>33</v>
      </c>
      <c r="H5" s="12" t="s">
        <v>34</v>
      </c>
      <c r="I5" s="13" t="s">
        <v>32</v>
      </c>
      <c r="J5" s="13" t="s">
        <v>33</v>
      </c>
      <c r="K5" s="13" t="s">
        <v>34</v>
      </c>
      <c r="L5" s="7"/>
    </row>
    <row r="6" customFormat="false" ht="15" hidden="false" customHeight="false" outlineLevel="0" collapsed="false">
      <c r="A6" s="5" t="s">
        <v>36</v>
      </c>
      <c r="B6" s="20" t="n">
        <f aca="false">COUNTIF(통합데이터!$A$7:$A$40,A6)</f>
        <v>3</v>
      </c>
      <c r="C6" s="16" t="n">
        <f aca="false">IFERROR(AVERAGEIF(통합데이터!$A$7:$A$40,$A6,통합데이터!$C$7:$C$40),"")</f>
        <v>55.85</v>
      </c>
      <c r="D6" s="16" t="n">
        <f aca="false">IFERROR(AVERAGEIF(통합데이터!$A$7:$A$40,$A6,통합데이터!$D$7:$D$40),"")</f>
        <v>48.4</v>
      </c>
      <c r="E6" s="16" t="n">
        <f aca="false">IFERROR(AVERAGEIF(통합데이터!$A$7:$A$40,$A6,통합데이터!$E$7:$E$40),"")</f>
        <v>50.1333333333333</v>
      </c>
      <c r="F6" s="16" t="n">
        <f aca="false">IFERROR(AVERAGEIF(통합데이터!$A$7:$A$40,$A6,통합데이터!$F$7:$F$40),"")</f>
        <v>35.1666666666667</v>
      </c>
      <c r="G6" s="16" t="n">
        <f aca="false">IFERROR(AVERAGEIF(통합데이터!$A$7:$A$40,$A6,통합데이터!$G$7:$G$40),"")</f>
        <v>35.7</v>
      </c>
      <c r="H6" s="16" t="n">
        <f aca="false">IFERROR(AVERAGEIF(통합데이터!$A$7:$A$40,$A6,통합데이터!$H$7:$H$40),"")</f>
        <v>34.4333333333333</v>
      </c>
      <c r="I6" s="16" t="n">
        <f aca="false">IFERROR(AVERAGEIF(통합데이터!$A$7:$A$40,$A6,통합데이터!$I$7:$I$40),"")</f>
        <v>25.7333333333333</v>
      </c>
      <c r="J6" s="16" t="n">
        <f aca="false">IFERROR(AVERAGEIF(통합데이터!$A$7:$A$40,$A6,통합데이터!$J$7:$J$40),"")</f>
        <v>23.3666666666667</v>
      </c>
      <c r="K6" s="16" t="n">
        <f aca="false">IFERROR(AVERAGEIF(통합데이터!$A$7:$A$40,$A6,통합데이터!$K$7:$K$40),"")</f>
        <v>23.4333333333333</v>
      </c>
      <c r="L6" s="28" t="n">
        <f aca="false">IF(OR(J6="",K6=""),"",K6-J6)</f>
        <v>0.06666666666667</v>
      </c>
    </row>
    <row r="7" customFormat="false" ht="15" hidden="false" customHeight="false" outlineLevel="0" collapsed="false">
      <c r="A7" s="3" t="s">
        <v>40</v>
      </c>
      <c r="B7" s="20" t="n">
        <f aca="false">COUNTIF(통합데이터!$A$7:$A$40,A7)</f>
        <v>6</v>
      </c>
      <c r="C7" s="16" t="n">
        <f aca="false">IFERROR(AVERAGEIF(통합데이터!$A$7:$A$40,$A7,통합데이터!$C$7:$C$40),"")</f>
        <v>18.9</v>
      </c>
      <c r="D7" s="16" t="n">
        <f aca="false">IFERROR(AVERAGEIF(통합데이터!$A$7:$A$40,$A7,통합데이터!$D$7:$D$40),"")</f>
        <v>22.0166666666667</v>
      </c>
      <c r="E7" s="16" t="n">
        <f aca="false">IFERROR(AVERAGEIF(통합데이터!$A$7:$A$40,$A7,통합데이터!$E$7:$E$40),"")</f>
        <v>21.2166666666667</v>
      </c>
      <c r="F7" s="16" t="n">
        <f aca="false">IFERROR(AVERAGEIF(통합데이터!$A$7:$A$40,$A7,통합데이터!$F$7:$F$40),"")</f>
        <v>16</v>
      </c>
      <c r="G7" s="16" t="n">
        <f aca="false">IFERROR(AVERAGEIF(통합데이터!$A$7:$A$40,$A7,통합데이터!$G$7:$G$40),"")</f>
        <v>12.7</v>
      </c>
      <c r="H7" s="16" t="n">
        <f aca="false">IFERROR(AVERAGEIF(통합데이터!$A$7:$A$40,$A7,통합데이터!$H$7:$H$40),"")</f>
        <v>12.6</v>
      </c>
      <c r="I7" s="16" t="n">
        <f aca="false">IFERROR(AVERAGEIF(통합데이터!$A$7:$A$40,$A7,통합데이터!$I$7:$I$40),"")</f>
        <v>9.81666666666667</v>
      </c>
      <c r="J7" s="16" t="n">
        <f aca="false">IFERROR(AVERAGEIF(통합데이터!$A$7:$A$40,$A7,통합데이터!$J$7:$J$40),"")</f>
        <v>8.46666666666667</v>
      </c>
      <c r="K7" s="16" t="n">
        <f aca="false">IFERROR(AVERAGEIF(통합데이터!$A$7:$A$40,$A7,통합데이터!$K$7:$K$40),"")</f>
        <v>7.53333333333333</v>
      </c>
      <c r="L7" s="28" t="n">
        <f aca="false">IF(OR(J7="",K7=""),"",K7-J7)</f>
        <v>-0.933333333333333</v>
      </c>
    </row>
    <row r="8" customFormat="false" ht="15" hidden="false" customHeight="false" outlineLevel="0" collapsed="false">
      <c r="A8" s="3" t="s">
        <v>47</v>
      </c>
      <c r="B8" s="20" t="n">
        <f aca="false">COUNTIF(통합데이터!$A$7:$A$40,A8)</f>
        <v>11</v>
      </c>
      <c r="C8" s="16" t="n">
        <f aca="false">IFERROR(AVERAGEIF(통합데이터!$A$7:$A$40,$A8,통합데이터!$C$7:$C$40),"")</f>
        <v>24.3363636363636</v>
      </c>
      <c r="D8" s="16" t="n">
        <f aca="false">IFERROR(AVERAGEIF(통합데이터!$A$7:$A$40,$A8,통합데이터!$D$7:$D$40),"")</f>
        <v>22.3909090909091</v>
      </c>
      <c r="E8" s="16" t="n">
        <f aca="false">IFERROR(AVERAGEIF(통합데이터!$A$7:$A$40,$A8,통합데이터!$E$7:$E$40),"")</f>
        <v>23.6272727272727</v>
      </c>
      <c r="F8" s="16" t="n">
        <f aca="false">IFERROR(AVERAGEIF(통합데이터!$A$7:$A$40,$A8,통합데이터!$F$7:$F$40),"")</f>
        <v>17.0272727272727</v>
      </c>
      <c r="G8" s="16" t="n">
        <f aca="false">IFERROR(AVERAGEIF(통합데이터!$A$7:$A$40,$A8,통합데이터!$G$7:$G$40),"")</f>
        <v>12.9090909090909</v>
      </c>
      <c r="H8" s="16" t="n">
        <f aca="false">IFERROR(AVERAGEIF(통합데이터!$A$7:$A$40,$A8,통합데이터!$H$7:$H$40),"")</f>
        <v>13.2818181818182</v>
      </c>
      <c r="I8" s="16" t="n">
        <f aca="false">IFERROR(AVERAGEIF(통합데이터!$A$7:$A$40,$A8,통합데이터!$I$7:$I$40),"")</f>
        <v>13.4181818181818</v>
      </c>
      <c r="J8" s="16" t="n">
        <f aca="false">IFERROR(AVERAGEIF(통합데이터!$A$7:$A$40,$A8,통합데이터!$J$7:$J$40),"")</f>
        <v>10.0909090909091</v>
      </c>
      <c r="K8" s="16" t="n">
        <f aca="false">IFERROR(AVERAGEIF(통합데이터!$A$7:$A$40,$A8,통합데이터!$K$7:$K$40),"")</f>
        <v>10.4181818181818</v>
      </c>
      <c r="L8" s="28" t="n">
        <f aca="false">IF(OR(J8="",K8=""),"",K8-J8)</f>
        <v>0.327272727272726</v>
      </c>
    </row>
    <row r="9" customFormat="false" ht="15" hidden="false" customHeight="false" outlineLevel="0" collapsed="false">
      <c r="A9" s="3" t="s">
        <v>59</v>
      </c>
      <c r="B9" s="20" t="n">
        <f aca="false">COUNTIF(통합데이터!$A$7:$A$40,A9)</f>
        <v>3</v>
      </c>
      <c r="C9" s="16" t="n">
        <f aca="false">IFERROR(AVERAGEIF(통합데이터!$A$7:$A$40,$A9,통합데이터!$C$7:$C$40),"")</f>
        <v>26.6</v>
      </c>
      <c r="D9" s="16" t="n">
        <f aca="false">IFERROR(AVERAGEIF(통합데이터!$A$7:$A$40,$A9,통합데이터!$D$7:$D$40),"")</f>
        <v>37.1</v>
      </c>
      <c r="E9" s="16" t="n">
        <f aca="false">IFERROR(AVERAGEIF(통합데이터!$A$7:$A$40,$A9,통합데이터!$E$7:$E$40),"")</f>
        <v>41.1</v>
      </c>
      <c r="F9" s="16" t="n">
        <f aca="false">IFERROR(AVERAGEIF(통합데이터!$A$7:$A$40,$A9,통합데이터!$F$7:$F$40),"")</f>
        <v>23.3666666666667</v>
      </c>
      <c r="G9" s="16" t="n">
        <f aca="false">IFERROR(AVERAGEIF(통합데이터!$A$7:$A$40,$A9,통합데이터!$G$7:$G$40),"")</f>
        <v>19.2333333333333</v>
      </c>
      <c r="H9" s="16" t="n">
        <f aca="false">IFERROR(AVERAGEIF(통합데이터!$A$7:$A$40,$A9,통합데이터!$H$7:$H$40),"")</f>
        <v>18.9</v>
      </c>
      <c r="I9" s="16" t="n">
        <f aca="false">IFERROR(AVERAGEIF(통합데이터!$A$7:$A$40,$A9,통합데이터!$I$7:$I$40),"")</f>
        <v>10.7333333333333</v>
      </c>
      <c r="J9" s="16" t="n">
        <f aca="false">IFERROR(AVERAGEIF(통합데이터!$A$7:$A$40,$A9,통합데이터!$J$7:$J$40),"")</f>
        <v>8.3</v>
      </c>
      <c r="K9" s="16" t="n">
        <f aca="false">IFERROR(AVERAGEIF(통합데이터!$A$7:$A$40,$A9,통합데이터!$K$7:$K$40),"")</f>
        <v>7.56666666666667</v>
      </c>
      <c r="L9" s="28" t="n">
        <f aca="false">IF(OR(J9="",K9=""),"",K9-J9)</f>
        <v>-0.733333333333333</v>
      </c>
    </row>
    <row r="10" customFormat="false" ht="15" hidden="false" customHeight="false" outlineLevel="0" collapsed="false">
      <c r="A10" s="3" t="s">
        <v>63</v>
      </c>
      <c r="B10" s="20" t="n">
        <f aca="false">COUNTIF(통합데이터!$A$7:$A$40,A10)</f>
        <v>6</v>
      </c>
      <c r="C10" s="16" t="n">
        <f aca="false">IFERROR(AVERAGEIF(통합데이터!$A$7:$A$40,$A10,통합데이터!$C$7:$C$40),"")</f>
        <v>34.8833333333333</v>
      </c>
      <c r="D10" s="16" t="n">
        <f aca="false">IFERROR(AVERAGEIF(통합데이터!$A$7:$A$40,$A10,통합데이터!$D$7:$D$40),"")</f>
        <v>33.9666666666667</v>
      </c>
      <c r="E10" s="16" t="n">
        <f aca="false">IFERROR(AVERAGEIF(통합데이터!$A$7:$A$40,$A10,통합데이터!$E$7:$E$40),"")</f>
        <v>37.6833333333333</v>
      </c>
      <c r="F10" s="16" t="n">
        <f aca="false">IFERROR(AVERAGEIF(통합데이터!$A$7:$A$40,$A10,통합데이터!$F$7:$F$40),"")</f>
        <v>28.05</v>
      </c>
      <c r="G10" s="16" t="n">
        <f aca="false">IFERROR(AVERAGEIF(통합데이터!$A$7:$A$40,$A10,통합데이터!$G$7:$G$40),"")</f>
        <v>26.8</v>
      </c>
      <c r="H10" s="16" t="n">
        <f aca="false">IFERROR(AVERAGEIF(통합데이터!$A$7:$A$40,$A10,통합데이터!$H$7:$H$40),"")</f>
        <v>28.2666666666667</v>
      </c>
      <c r="I10" s="16" t="n">
        <f aca="false">IFERROR(AVERAGEIF(통합데이터!$A$7:$A$40,$A10,통합데이터!$I$7:$I$40),"")</f>
        <v>28.9666666666667</v>
      </c>
      <c r="J10" s="16" t="n">
        <f aca="false">IFERROR(AVERAGEIF(통합데이터!$A$7:$A$40,$A10,통합데이터!$J$7:$J$40),"")</f>
        <v>25.9333333333333</v>
      </c>
      <c r="K10" s="16" t="n">
        <f aca="false">IFERROR(AVERAGEIF(통합데이터!$A$7:$A$40,$A10,통합데이터!$K$7:$K$40),"")</f>
        <v>27.1833333333333</v>
      </c>
      <c r="L10" s="28" t="n">
        <f aca="false">IF(OR(J10="",K10=""),"",K10-J10)</f>
        <v>1.25</v>
      </c>
    </row>
    <row r="11" customFormat="false" ht="15" hidden="false" customHeight="false" outlineLevel="0" collapsed="false">
      <c r="A11" s="3" t="s">
        <v>70</v>
      </c>
      <c r="B11" s="20" t="n">
        <f aca="false">COUNTIF(통합데이터!$A$7:$A$40,A11)</f>
        <v>1</v>
      </c>
      <c r="C11" s="16" t="n">
        <f aca="false">IFERROR(AVERAGEIF(통합데이터!$A$7:$A$40,$A11,통합데이터!$C$7:$C$40),"")</f>
        <v>47.1</v>
      </c>
      <c r="D11" s="16" t="n">
        <f aca="false">IFERROR(AVERAGEIF(통합데이터!$A$7:$A$40,$A11,통합데이터!$D$7:$D$40),"")</f>
        <v>55.8</v>
      </c>
      <c r="E11" s="16" t="n">
        <f aca="false">IFERROR(AVERAGEIF(통합데이터!$A$7:$A$40,$A11,통합데이터!$E$7:$E$40),"")</f>
        <v>58.5</v>
      </c>
      <c r="F11" s="16" t="n">
        <f aca="false">IFERROR(AVERAGEIF(통합데이터!$A$7:$A$40,$A11,통합데이터!$F$7:$F$40),"")</f>
        <v>44.7</v>
      </c>
      <c r="G11" s="16" t="n">
        <f aca="false">IFERROR(AVERAGEIF(통합데이터!$A$7:$A$40,$A11,통합데이터!$G$7:$G$40),"")</f>
        <v>44</v>
      </c>
      <c r="H11" s="16" t="n">
        <f aca="false">IFERROR(AVERAGEIF(통합데이터!$A$7:$A$40,$A11,통합데이터!$H$7:$H$40),"")</f>
        <v>49.7</v>
      </c>
      <c r="I11" s="16" t="n">
        <f aca="false">IFERROR(AVERAGEIF(통합데이터!$A$7:$A$40,$A11,통합데이터!$I$7:$I$40),"")</f>
        <v>62</v>
      </c>
      <c r="J11" s="16" t="n">
        <f aca="false">IFERROR(AVERAGEIF(통합데이터!$A$7:$A$40,$A11,통합데이터!$J$7:$J$40),"")</f>
        <v>60.4</v>
      </c>
      <c r="K11" s="16" t="n">
        <f aca="false">IFERROR(AVERAGEIF(통합데이터!$A$7:$A$40,$A11,통합데이터!$K$7:$K$40),"")</f>
        <v>68.2</v>
      </c>
      <c r="L11" s="28" t="n">
        <f aca="false">IF(OR(J11="",K11=""),"",K11-J11)</f>
        <v>7.8</v>
      </c>
    </row>
    <row r="12" customFormat="false" ht="15" hidden="false" customHeight="false" outlineLevel="0" collapsed="false">
      <c r="A12" s="3" t="s">
        <v>72</v>
      </c>
      <c r="B12" s="20" t="n">
        <f aca="false">COUNTIF(통합데이터!$A$7:$A$40,A12)</f>
        <v>4</v>
      </c>
      <c r="C12" s="16" t="n">
        <f aca="false">IFERROR(AVERAGEIF(통합데이터!$A$7:$A$40,$A12,통합데이터!$C$7:$C$40),"")</f>
        <v>26.35</v>
      </c>
      <c r="D12" s="16" t="n">
        <f aca="false">IFERROR(AVERAGEIF(통합데이터!$A$7:$A$40,$A12,통합데이터!$D$7:$D$40),"")</f>
        <v>12.3333333333333</v>
      </c>
      <c r="E12" s="16" t="n">
        <f aca="false">IFERROR(AVERAGEIF(통합데이터!$A$7:$A$40,$A12,통합데이터!$E$7:$E$40),"")</f>
        <v>11.7</v>
      </c>
      <c r="F12" s="16" t="n">
        <f aca="false">IFERROR(AVERAGEIF(통합데이터!$A$7:$A$40,$A12,통합데이터!$F$7:$F$40),"")</f>
        <v>14.075</v>
      </c>
      <c r="G12" s="16" t="n">
        <f aca="false">IFERROR(AVERAGEIF(통합데이터!$A$7:$A$40,$A12,통합데이터!$G$7:$G$40),"")</f>
        <v>10.975</v>
      </c>
      <c r="H12" s="16" t="n">
        <f aca="false">IFERROR(AVERAGEIF(통합데이터!$A$7:$A$40,$A12,통합데이터!$H$7:$H$40),"")</f>
        <v>10.7333333333333</v>
      </c>
      <c r="I12" s="16" t="n">
        <f aca="false">IFERROR(AVERAGEIF(통합데이터!$A$7:$A$40,$A12,통합데이터!$I$7:$I$40),"")</f>
        <v>6.925</v>
      </c>
      <c r="J12" s="16" t="n">
        <f aca="false">IFERROR(AVERAGEIF(통합데이터!$A$7:$A$40,$A12,통합데이터!$J$7:$J$40),"")</f>
        <v>4.4</v>
      </c>
      <c r="K12" s="16" t="n">
        <f aca="false">IFERROR(AVERAGEIF(통합데이터!$A$7:$A$40,$A12,통합데이터!$K$7:$K$40),"")</f>
        <v>3.03333333333333</v>
      </c>
      <c r="L12" s="28" t="n">
        <f aca="false">IF(OR(J12="",K12=""),"",K12-J12)</f>
        <v>-1.36666666666667</v>
      </c>
    </row>
  </sheetData>
  <mergeCells count="6">
    <mergeCell ref="A4:A5"/>
    <mergeCell ref="B4:B5"/>
    <mergeCell ref="C4:E4"/>
    <mergeCell ref="F4:H4"/>
    <mergeCell ref="I4:K4"/>
    <mergeCell ref="L4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2026-10-24T02:04:16Z</dcterms:created>
  <dc:creator>openpyxl</dc:creator>
  <dc:description/>
  <dc:language>en-US</dc:language>
  <cp:lastModifiedBy/>
  <dcterms:modified xsi:type="dcterms:W3CDTF">2026-10-24T02:04:18Z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